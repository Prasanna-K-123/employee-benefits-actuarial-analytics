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dd61142e2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50d00a0953141f8"/>
    <x:sheet xmlns:r="http://schemas.openxmlformats.org/officeDocument/2006/relationships" name="Pension" sheetId="2" r:id="Rdbaba45e55e54026"/>
    <x:sheet xmlns:r="http://schemas.openxmlformats.org/officeDocument/2006/relationships" name="Health Claims" sheetId="3" r:id="R2cbc97096932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165" formatCode="$#,##0"/>
    <x:numFmt numFmtId="166" formatCode="0.0000x"/>
    <x:numFmt numFmtId="200" formatCode="0"/>
  </x:numFmts>
  <x:fonts count="5">
    <x:font>
      <x:sz val="11"/>
      <x:color theme="1"/>
      <x:name val="Calibri"/>
      <x:family val="2"/>
      <x:scheme val="minor"/>
    </x:font>
    <x:font>
      <x:b/>
      <x:sz val="12"/>
      <x:color rgb="FFFFFFFF"/>
    </x:font>
    <x:font>
      <x:b/>
      <x:color rgb="FFFFFFFF"/>
    </x:font>
    <x:font>
      <x:b/>
    </x:font>
    <x:font>
      <x:b/>
      <x:sz val="11"/>
      <x:color theme="1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horizontal="center"/>
    </x:xf>
    <x:xf numFmtId="0" fontId="2" fillId="3" borderId="0" xfId="0" applyAlignment="1">
      <x:alignment horizontal="center" wrapText="1"/>
    </x:xf>
    <x:xf numFmtId="164" fontId="0" fillId="0" borderId="0" xfId="0"/>
    <x:xf numFmtId="0" fontId="3" fillId="0" borderId="0" xfId="0"/>
    <x:xf numFmtId="165" fontId="0" fillId="0" borderId="0" xfId="0"/>
    <x:xf numFmtId="166" fontId="0" fillId="0" borderId="0" xfId="0"/>
    <x:xf numFmtId="200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4" fillId="0" borderId="0" xfId="0" applyNumberFormat="1" applyFont="1" applyFill="1" applyBorder="1"/>
    <x:xf numFmtId="165" fontId="4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30303dfdb4740" /><Relationship Type="http://schemas.openxmlformats.org/officeDocument/2006/relationships/theme" Target="/xl/theme/theme1.xml" Id="Ra5c5613030fa47d2" /><Relationship Type="http://schemas.openxmlformats.org/officeDocument/2006/relationships/sharedStrings" Target="/xl/sharedStrings.xml" Id="Ra6ab10c4370342a6" /><Relationship Type="http://schemas.openxmlformats.org/officeDocument/2006/relationships/worksheet" Target="/xl/worksheets/sheet1.xml" Id="Rb50d00a0953141f8" /><Relationship Type="http://schemas.openxmlformats.org/officeDocument/2006/relationships/worksheet" Target="/xl/worksheets/sheet2.xml" Id="Rdbaba45e55e54026" /><Relationship Type="http://schemas.openxmlformats.org/officeDocument/2006/relationships/worksheet" Target="/xl/worksheets/sheet3.xml" Id="R2cbc97096932451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10" customWidth="1"/>
    <x:col min="3" max="3" width="20" customWidth="1"/>
    <x:col min="4" max="4" width="10" customWidth="1"/>
  </x:cols>
  <x:sheetData>
    <x:row r="1">
      <x:c r="A1" s="1" t="inlineStr">
        <x:is>
          <x:t xml:space="preserve">EMPLOYEE BENEFITS ACTUARIAL MODEL - EDUCATIONAL / SYNTHETIC</x:t>
        </x:is>
      </x:c>
    </x:row>
    <x:row r="2"/>
    <x:row r="3">
      <x:c r="A3" s="2" t="inlineStr">
        <x:is>
          <x:t xml:space="preserve">Pension assumptions</x:t>
        </x:is>
      </x:c>
      <x:c r="B3" s="2" t="inlineStr">
        <x:is>
          <x:t xml:space="preserve">Value</x:t>
        </x:is>
      </x:c>
      <x:c r="C3" s="2" t="inlineStr">
        <x:is>
          <x:t xml:space="preserve">Health assumptions</x:t>
        </x:is>
      </x:c>
      <x:c r="D3" s="2" t="inlineStr">
        <x:is>
          <x:t xml:space="preserve">Value</x:t>
        </x:is>
      </x:c>
    </x:row>
    <x:row r="4">
      <x:c r="A4" t="inlineStr">
        <x:is>
          <x:t xml:space="preserve">Discount rate</x:t>
        </x:is>
      </x:c>
      <x:c r="B4" s="3" t="n">
        <x:v>0.05</x:v>
      </x:c>
      <x:c r="C4" t="inlineStr">
        <x:is>
          <x:t xml:space="preserve">PAD / risk margin</x:t>
        </x:is>
      </x:c>
      <x:c r="D4" s="3" t="n">
        <x:v>0.05</x:v>
      </x:c>
    </x:row>
    <x:row r="5">
      <x:c r="A5" t="inlineStr">
        <x:is>
          <x:t xml:space="preserve">Salary growth</x:t>
        </x:is>
      </x:c>
      <x:c r="B5" s="3" t="n">
        <x:v>0.04</x:v>
      </x:c>
      <x:c r="C5" t="inlineStr">
        <x:is>
          <x:t xml:space="preserve">Annual claim trend</x:t>
        </x:is>
      </x:c>
      <x:c r="D5" s="3" t="n">
        <x:v>0.07000000000000001</x:v>
      </x:c>
    </x:row>
    <x:row r="6">
      <x:c r="A6" t="inlineStr">
        <x:is>
          <x:t xml:space="preserve">Accrual rate</x:t>
        </x:is>
      </x:c>
      <x:c r="B6" s="3" t="n">
        <x:v>0.015</x:v>
      </x:c>
      <x:c r="C6" t="inlineStr">
        <x:is>
          <x:t xml:space="preserve"/>
        </x:is>
      </x:c>
      <x:c r="D6" t="inlineStr">
        <x:is>
          <x:t xml:space="preserve"/>
        </x:is>
      </x:c>
    </x:row>
    <x:row r="7">
      <x:c r="A7" t="inlineStr">
        <x:is>
          <x:t xml:space="preserve">Retirement age</x:t>
        </x:is>
      </x:c>
      <x:c r="B7" t="n">
        <x:v>65</x:v>
      </x:c>
      <x:c r="C7" t="inlineStr">
        <x:is>
          <x:t xml:space="preserve"/>
        </x:is>
      </x:c>
      <x:c r="D7" t="inlineStr">
        <x:is>
          <x:t xml:space="preserve"/>
        </x:is>
      </x:c>
    </x:row>
    <x:row r="8">
      <x:c r="A8" t="inlineStr">
        <x:is>
          <x:t xml:space="preserve">Annuity discount rate</x:t>
        </x:is>
      </x:c>
      <x:c r="B8" s="3" t="n">
        <x:v>0.04</x:v>
      </x:c>
      <x:c r="C8" t="inlineStr">
        <x:is>
          <x:t xml:space="preserve"/>
        </x:is>
      </x:c>
      <x:c r="D8" t="inlineStr">
        <x:is>
          <x:t xml:space="preserve"/>
        </x:is>
      </x:c>
    </x:row>
    <x:row r="9">
      <x:c r="A9" t="inlineStr">
        <x:is>
          <x:t xml:space="preserve">Annuity years</x:t>
        </x:is>
      </x:c>
      <x:c r="B9" t="n">
        <x:v>15</x:v>
      </x:c>
      <x:c r="C9" t="inlineStr">
        <x:is>
          <x:t xml:space="preserve"/>
        </x:is>
      </x:c>
      <x:c r="D9" t="inlineStr">
        <x:is>
          <x:t xml:space="preserve"/>
        </x:is>
      </x:c>
    </x:row>
    <x:row r="10"/>
    <x:row r="11">
      <x:c r="A11" s="4" t="inlineStr">
        <x:is>
          <x:t xml:space="preserve">MODEL BOUNDARY</x:t>
        </x:is>
      </x:c>
    </x:row>
    <x:row r="12">
      <x:c r="A12" t="inlineStr">
        <x:is>
          <x:t xml:space="preserve">All employee and claims data are synthetic.</x:t>
        </x:is>
      </x:c>
    </x:row>
    <x:row r="13">
      <x:c r="A13" t="inlineStr">
        <x:is>
          <x:t xml:space="preserve">Retirement output is an illustrative liability proxy, not an ASC 715 / IAS 19 valuation.</x:t>
        </x:is>
      </x:c>
    </x:row>
    <x:row r="14">
      <x:c r="A14" t="inlineStr">
        <x:is>
          <x:t xml:space="preserve">Health output is an educational chain-ladder IBNR / PAD illustration, not a booked reserve.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26" customWidth="1"/>
    <x:col min="2" max="2" width="10" customWidth="1"/>
    <x:col min="3" max="3" width="15" customWidth="1"/>
    <x:col min="4" max="4" width="12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</x:cols>
  <x:sheetData>
    <x:row r="1">
      <x:c r="A1" s="1" t="inlineStr">
        <x:is>
          <x:t xml:space="preserve">RETIREMENT / DEFINED-BENEFIT LIABILITY PROXY</x:t>
        </x:is>
      </x:c>
    </x:row>
    <x:row r="2"/>
    <x:row r="3">
      <x:c r="A3" s="2" t="inlineStr">
        <x:is>
          <x:t xml:space="preserve">Employee ID</x:t>
        </x:is>
      </x:c>
      <x:c r="B3" s="2" t="inlineStr">
        <x:is>
          <x:t xml:space="preserve">Age</x:t>
        </x:is>
      </x:c>
      <x:c r="C3" s="2" t="inlineStr">
        <x:is>
          <x:t xml:space="preserve">Service Years</x:t>
        </x:is>
      </x:c>
      <x:c r="D3" s="2" t="inlineStr">
        <x:is>
          <x:t xml:space="preserve">Salary ($)</x:t>
        </x:is>
      </x:c>
      <x:c r="E3" s="2" t="inlineStr">
        <x:is>
          <x:t xml:space="preserve">Years to Retirement</x:t>
        </x:is>
      </x:c>
      <x:c r="F3" s="2" t="inlineStr">
        <x:is>
          <x:t xml:space="preserve">Projected Final Salary ($)</x:t>
        </x:is>
      </x:c>
      <x:c r="G3" s="2" t="inlineStr">
        <x:is>
          <x:t xml:space="preserve">Accrued Annual Benefit ($)</x:t>
        </x:is>
      </x:c>
      <x:c r="H3" s="2" t="inlineStr">
        <x:is>
          <x:t xml:space="preserve">PV at Retirement ($)</x:t>
        </x:is>
      </x:c>
      <x:c r="I3" s="2" t="inlineStr">
        <x:is>
          <x:t xml:space="preserve">Liability Proxy ($)</x:t>
        </x:is>
      </x:c>
    </x:row>
    <x:row r="4">
      <x:c r="A4" t="inlineStr">
        <x:is>
          <x:t xml:space="preserve">E001</x:t>
        </x:is>
      </x:c>
      <x:c r="B4" t="n">
        <x:v>35</x:v>
      </x:c>
      <x:c r="C4" t="n">
        <x:v>9</x:v>
      </x:c>
      <x:c r="D4" s="5" t="n">
        <x:v>114829</x:v>
      </x:c>
      <x:c r="E4" s="7" t="n">
        <x:f>MAX(Assumptions!$B$7-B4,0)</x:f>
        <x:v>30</x:v>
      </x:c>
      <x:c r="F4" s="5" t="n">
        <x:f>D4*(1+Assumptions!$B$5)^E4</x:f>
        <x:v>372436.09267895255</x:v>
      </x:c>
      <x:c r="G4" s="5" t="n">
        <x:f>Assumptions!$B$6*F4*C4</x:f>
        <x:v>50278.8725116586</x:v>
      </x:c>
      <x:c r="H4" s="5" t="n">
        <x:f>G4*IF(Assumptions!$B$8=0,Assumptions!$B$9,(1-(1+Assumptions!$B$8)^(-Assumptions!$B$9))/Assumptions!$B$8)</x:f>
        <x:v>559019.9842372085</x:v>
      </x:c>
      <x:c r="I4" s="5" t="n">
        <x:f>H4/(1+Assumptions!$B$4)^E4</x:f>
        <x:v>129344.61770044318</x:v>
      </x:c>
    </x:row>
    <x:row r="5">
      <x:c r="A5" t="inlineStr">
        <x:is>
          <x:t xml:space="preserve">E002</x:t>
        </x:is>
      </x:c>
      <x:c r="B5" t="n">
        <x:v>37</x:v>
      </x:c>
      <x:c r="C5" t="n">
        <x:v>7</x:v>
      </x:c>
      <x:c r="D5" s="5" t="n">
        <x:v>68755</x:v>
      </x:c>
      <x:c r="E5" s="7" t="n">
        <x:f>MAX(Assumptions!$B$7-B5,0)</x:f>
        <x:v>28</x:v>
      </x:c>
      <x:c r="F5" s="5" t="n">
        <x:f>D5*(1+Assumptions!$B$5)^E5</x:f>
        <x:v>206175.84671037685</x:v>
      </x:c>
      <x:c r="G5" s="5" t="n">
        <x:f>Assumptions!$B$6*F5*C5</x:f>
        <x:v>21648.463904589567</x:v>
      </x:c>
      <x:c r="H5" s="5" t="n">
        <x:f>G5*IF(Assumptions!$B$8=0,Assumptions!$B$9,(1-(1+Assumptions!$B$8)^(-Assumptions!$B$9))/Assumptions!$B$8)</x:f>
        <x:v>240696.009002534</x:v>
      </x:c>
      <x:c r="I5" s="5" t="n">
        <x:f>H5/(1+Assumptions!$B$4)^E5</x:f>
        <x:v>61400.02038228073</x:v>
      </x:c>
    </x:row>
    <x:row r="6">
      <x:c r="A6" t="inlineStr">
        <x:is>
          <x:t xml:space="preserve">E003</x:t>
        </x:is>
      </x:c>
      <x:c r="B6" t="n">
        <x:v>30</x:v>
      </x:c>
      <x:c r="C6" t="n">
        <x:v>8</x:v>
      </x:c>
      <x:c r="D6" s="5" t="n">
        <x:v>65718</x:v>
      </x:c>
      <x:c r="E6" s="7" t="n">
        <x:f>MAX(Assumptions!$B$7-B6,0)</x:f>
        <x:v>35</x:v>
      </x:c>
      <x:c r="F6" s="5" t="n">
        <x:f>D6*(1+Assumptions!$B$5)^E6</x:f>
        <x:v>259329.07652162042</x:v>
      </x:c>
      <x:c r="G6" s="5" t="n">
        <x:f>Assumptions!$B$6*F6*C6</x:f>
        <x:v>31119.48918259445</x:v>
      </x:c>
      <x:c r="H6" s="5" t="n">
        <x:f>G6*IF(Assumptions!$B$8=0,Assumptions!$B$9,(1-(1+Assumptions!$B$8)^(-Assumptions!$B$9))/Assumptions!$B$8)</x:f>
        <x:v>345998.53742325015</x:v>
      </x:c>
      <x:c r="I6" s="5" t="n">
        <x:f>H6/(1+Assumptions!$B$4)^E6</x:f>
        <x:v>62726.173581035306</x:v>
      </x:c>
    </x:row>
    <x:row r="7">
      <x:c r="A7" t="inlineStr">
        <x:is>
          <x:t xml:space="preserve">E004</x:t>
        </x:is>
      </x:c>
      <x:c r="B7" t="n">
        <x:v>39</x:v>
      </x:c>
      <x:c r="C7" t="n">
        <x:v>2</x:v>
      </x:c>
      <x:c r="D7" s="5" t="n">
        <x:v>116463</x:v>
      </x:c>
      <x:c r="E7" s="7" t="n">
        <x:f>MAX(Assumptions!$B$7-B7,0)</x:f>
        <x:v>26</x:v>
      </x:c>
      <x:c r="F7" s="5" t="n">
        <x:f>D7*(1+Assumptions!$B$5)^E7</x:f>
        <x:v>322890.1485409804</x:v>
      </x:c>
      <x:c r="G7" s="5" t="n">
        <x:f>Assumptions!$B$6*F7*C7</x:f>
        <x:v>9686.704456229412</x:v>
      </x:c>
      <x:c r="H7" s="5" t="n">
        <x:f>G7*IF(Assumptions!$B$8=0,Assumptions!$B$9,(1-(1+Assumptions!$B$8)^(-Assumptions!$B$9))/Assumptions!$B$8)</x:f>
        <x:v>107700.53308526809</x:v>
      </x:c>
      <x:c r="I7" s="5" t="n">
        <x:f>H7/(1+Assumptions!$B$4)^E7</x:f>
        <x:v>30289.77707943445</x:v>
      </x:c>
    </x:row>
    <x:row r="8">
      <x:c r="A8" t="inlineStr">
        <x:is>
          <x:t xml:space="preserve">E005</x:t>
        </x:is>
      </x:c>
      <x:c r="B8" t="n">
        <x:v>49</x:v>
      </x:c>
      <x:c r="C8" t="n">
        <x:v>4</x:v>
      </x:c>
      <x:c r="D8" s="5" t="n">
        <x:v>48968</x:v>
      </x:c>
      <x:c r="E8" s="7" t="n">
        <x:f>MAX(Assumptions!$B$7-B8,0)</x:f>
        <x:v>16</x:v>
      </x:c>
      <x:c r="F8" s="5" t="n">
        <x:f>D8*(1+Assumptions!$B$5)^E8</x:f>
        <x:v>91716.1456407692</x:v>
      </x:c>
      <x:c r="G8" s="5" t="n">
        <x:f>Assumptions!$B$6*F8*C8</x:f>
        <x:v>5502.968738446152</x:v>
      </x:c>
      <x:c r="H8" s="5" t="n">
        <x:f>G8*IF(Assumptions!$B$8=0,Assumptions!$B$9,(1-(1+Assumptions!$B$8)^(-Assumptions!$B$9))/Assumptions!$B$8)</x:f>
        <x:v>61184.138461153794</x:v>
      </x:c>
      <x:c r="I8" s="5" t="n">
        <x:f>H8/(1+Assumptions!$B$4)^E8</x:f>
        <x:v>28029.158792171722</x:v>
      </x:c>
    </x:row>
    <x:row r="9">
      <x:c r="A9" t="inlineStr">
        <x:is>
          <x:t xml:space="preserve">E006</x:t>
        </x:is>
      </x:c>
      <x:c r="B9" t="n">
        <x:v>31</x:v>
      </x:c>
      <x:c r="C9" t="n">
        <x:v>10</x:v>
      </x:c>
      <x:c r="D9" s="5" t="n">
        <x:v>66581</x:v>
      </x:c>
      <x:c r="E9" s="7" t="n">
        <x:f>MAX(Assumptions!$B$7-B9,0)</x:f>
        <x:v>34</x:v>
      </x:c>
      <x:c r="F9" s="5" t="n">
        <x:f>D9*(1+Assumptions!$B$5)^E9</x:f>
        <x:v>252629.37627271665</x:v>
      </x:c>
      <x:c r="G9" s="5" t="n">
        <x:f>Assumptions!$B$6*F9*C9</x:f>
        <x:v>37894.40644090749</x:v>
      </x:c>
      <x:c r="H9" s="5" t="n">
        <x:f>G9*IF(Assumptions!$B$8=0,Assumptions!$B$9,(1-(1+Assumptions!$B$8)^(-Assumptions!$B$9))/Assumptions!$B$8)</x:f>
        <x:v>421324.6923220568</x:v>
      </x:c>
      <x:c r="I9" s="5" t="n">
        <x:f>H9/(1+Assumptions!$B$4)^E9</x:f>
        <x:v>80201.17738201</x:v>
      </x:c>
    </x:row>
    <x:row r="10">
      <x:c r="A10" t="inlineStr">
        <x:is>
          <x:t xml:space="preserve">E007</x:t>
        </x:is>
      </x:c>
      <x:c r="B10" t="n">
        <x:v>55</x:v>
      </x:c>
      <x:c r="C10" t="n">
        <x:v>26</x:v>
      </x:c>
      <x:c r="D10" s="5" t="n">
        <x:v>136123</x:v>
      </x:c>
      <x:c r="E10" s="7" t="n">
        <x:f>MAX(Assumptions!$B$7-B10,0)</x:f>
        <x:v>10</x:v>
      </x:c>
      <x:c r="F10" s="5" t="n">
        <x:f>D10*(1+Assumptions!$B$5)^E10</x:f>
        <x:v>201495.29279593978</x:v>
      </x:c>
      <x:c r="G10" s="5" t="n">
        <x:f>Assumptions!$B$6*F10*C10</x:f>
        <x:v>78583.16419041652</x:v>
      </x:c>
      <x:c r="H10" s="5" t="n">
        <x:f>G10*IF(Assumptions!$B$8=0,Assumptions!$B$9,(1-(1+Assumptions!$B$8)^(-Assumptions!$B$9))/Assumptions!$B$8)</x:f>
        <x:v>873718.0651147314</x:v>
      </x:c>
      <x:c r="I10" s="5" t="n">
        <x:f>H10/(1+Assumptions!$B$4)^E10</x:f>
        <x:v>536387.1000319216</x:v>
      </x:c>
    </x:row>
    <x:row r="11">
      <x:c r="A11" t="inlineStr">
        <x:is>
          <x:t xml:space="preserve">E008</x:t>
        </x:is>
      </x:c>
      <x:c r="B11" t="n">
        <x:v>41</x:v>
      </x:c>
      <x:c r="C11" t="n">
        <x:v>16</x:v>
      </x:c>
      <x:c r="D11" s="5" t="n">
        <x:v>135219</x:v>
      </x:c>
      <x:c r="E11" s="7" t="n">
        <x:f>MAX(Assumptions!$B$7-B11,0)</x:f>
        <x:v>24</x:v>
      </x:c>
      <x:c r="F11" s="5" t="n">
        <x:f>D11*(1+Assumptions!$B$5)^E11</x:f>
        <x:v>346607.42587249784</x:v>
      </x:c>
      <x:c r="G11" s="5" t="n">
        <x:f>Assumptions!$B$6*F11*C11</x:f>
        <x:v>83185.78220939948</x:v>
      </x:c>
      <x:c r="H11" s="5" t="n">
        <x:f>G11*IF(Assumptions!$B$8=0,Assumptions!$B$9,(1-(1+Assumptions!$B$8)^(-Assumptions!$B$9))/Assumptions!$B$8)</x:f>
        <x:v>924891.7554520621</x:v>
      </x:c>
      <x:c r="I11" s="5" t="n">
        <x:f>H11/(1+Assumptions!$B$4)^E11</x:f>
        <x:v>286779.2538506727</x:v>
      </x:c>
    </x:row>
    <x:row r="12">
      <x:c r="A12" t="inlineStr">
        <x:is>
          <x:t xml:space="preserve">E009</x:t>
        </x:is>
      </x:c>
      <x:c r="B12" t="n">
        <x:v>35</x:v>
      </x:c>
      <x:c r="C12" t="n">
        <x:v>12</x:v>
      </x:c>
      <x:c r="D12" s="5" t="n">
        <x:v>88550</x:v>
      </x:c>
      <x:c r="E12" s="7" t="n">
        <x:f>MAX(Assumptions!$B$7-B12,0)</x:f>
        <x:v>30</x:v>
      </x:c>
      <x:c r="F12" s="5" t="n">
        <x:f>D12*(1+Assumptions!$B$5)^E12</x:f>
        <x:v>287202.8495129388</x:v>
      </x:c>
      <x:c r="G12" s="5" t="n">
        <x:f>Assumptions!$B$6*F12*C12</x:f>
        <x:v>51696.51291232899</x:v>
      </x:c>
      <x:c r="H12" s="5" t="n">
        <x:f>G12*IF(Assumptions!$B$8=0,Assumptions!$B$9,(1-(1+Assumptions!$B$8)^(-Assumptions!$B$9))/Assumptions!$B$8)</x:f>
        <x:v>574781.8594513559</x:v>
      </x:c>
      <x:c r="I12" s="5" t="n">
        <x:f>H12/(1+Assumptions!$B$4)^E12</x:f>
        <x:v>132991.5601735246</x:v>
      </x:c>
    </x:row>
    <x:row r="13">
      <x:c r="A13" t="inlineStr">
        <x:is>
          <x:t xml:space="preserve">E010</x:t>
        </x:is>
      </x:c>
      <x:c r="B13" t="n">
        <x:v>47</x:v>
      </x:c>
      <x:c r="C13" t="n">
        <x:v>24</x:v>
      </x:c>
      <x:c r="D13" s="5" t="n">
        <x:v>66151</x:v>
      </x:c>
      <x:c r="E13" s="7" t="n">
        <x:f>MAX(Assumptions!$B$7-B13,0)</x:f>
        <x:v>18</x:v>
      </x:c>
      <x:c r="F13" s="5" t="n">
        <x:f>D13*(1+Assumptions!$B$5)^E13</x:f>
        <x:v>134009.78830880532</x:v>
      </x:c>
      <x:c r="G13" s="5" t="n">
        <x:f>Assumptions!$B$6*F13*C13</x:f>
        <x:v>48243.52379116991</x:v>
      </x:c>
      <x:c r="H13" s="5" t="n">
        <x:f>G13*IF(Assumptions!$B$8=0,Assumptions!$B$9,(1-(1+Assumptions!$B$8)^(-Assumptions!$B$9))/Assumptions!$B$8)</x:f>
        <x:v>536390.1886032475</x:v>
      </x:c>
      <x:c r="I13" s="5" t="n">
        <x:f>H13/(1+Assumptions!$B$4)^E13</x:f>
        <x:v>222881.2024329141</x:v>
      </x:c>
    </x:row>
    <x:row r="14">
      <x:c r="A14" t="inlineStr">
        <x:is>
          <x:t xml:space="preserve">E011</x:t>
        </x:is>
      </x:c>
      <x:c r="B14" t="n">
        <x:v>53</x:v>
      </x:c>
      <x:c r="C14" t="n">
        <x:v>28</x:v>
      </x:c>
      <x:c r="D14" s="5" t="n">
        <x:v>61070</x:v>
      </x:c>
      <x:c r="E14" s="7" t="n">
        <x:f>MAX(Assumptions!$B$7-B14,0)</x:f>
        <x:v>12</x:v>
      </x:c>
      <x:c r="F14" s="5" t="n">
        <x:f>D14*(1+Assumptions!$B$5)^E14</x:f>
        <x:v>97775.03758792831</x:v>
      </x:c>
      <x:c r="G14" s="5" t="n">
        <x:f>Assumptions!$B$6*F14*C14</x:f>
        <x:v>41065.515786929886</x:v>
      </x:c>
      <x:c r="H14" s="5" t="n">
        <x:f>G14*IF(Assumptions!$B$8=0,Assumptions!$B$9,(1-(1+Assumptions!$B$8)^(-Assumptions!$B$9))/Assumptions!$B$8)</x:f>
        <x:v>456582.31462090305</x:v>
      </x:c>
      <x:c r="I14" s="5" t="n">
        <x:f>H14/(1+Assumptions!$B$4)^E14</x:f>
        <x:v>254242.1172590377</x:v>
      </x:c>
    </x:row>
    <x:row r="15">
      <x:c r="A15" t="inlineStr">
        <x:is>
          <x:t xml:space="preserve">E012</x:t>
        </x:is>
      </x:c>
      <x:c r="B15" t="n">
        <x:v>52</x:v>
      </x:c>
      <x:c r="C15" t="n">
        <x:v>11</x:v>
      </x:c>
      <x:c r="D15" s="5" t="n">
        <x:v>151858</x:v>
      </x:c>
      <x:c r="E15" s="7" t="n">
        <x:f>MAX(Assumptions!$B$7-B15,0)</x:f>
        <x:v>13</x:v>
      </x:c>
      <x:c r="F15" s="5" t="n">
        <x:f>D15*(1+Assumptions!$B$5)^E15</x:f>
        <x:v>252854.73267314103</x:v>
      </x:c>
      <x:c r="G15" s="5" t="n">
        <x:f>Assumptions!$B$6*F15*C15</x:f>
        <x:v>41721.030891068265</x:v>
      </x:c>
      <x:c r="H15" s="5" t="n">
        <x:f>G15*IF(Assumptions!$B$8=0,Assumptions!$B$9,(1-(1+Assumptions!$B$8)^(-Assumptions!$B$9))/Assumptions!$B$8)</x:f>
        <x:v>463870.5855163516</x:v>
      </x:c>
      <x:c r="I15" s="5" t="n">
        <x:f>H15/(1+Assumptions!$B$4)^E15</x:f>
        <x:v>246000.4754356552</x:v>
      </x:c>
    </x:row>
    <x:row r="16">
      <x:c r="A16" t="inlineStr">
        <x:is>
          <x:t xml:space="preserve">E013</x:t>
        </x:is>
      </x:c>
      <x:c r="B16" t="n">
        <x:v>40</x:v>
      </x:c>
      <x:c r="C16" t="n">
        <x:v>1</x:v>
      </x:c>
      <x:c r="D16" s="5" t="n">
        <x:v>75249</x:v>
      </x:c>
      <x:c r="E16" s="7" t="n">
        <x:f>MAX(Assumptions!$B$7-B16,0)</x:f>
        <x:v>25</x:v>
      </x:c>
      <x:c r="F16" s="5" t="n">
        <x:f>D16*(1+Assumptions!$B$5)^E16</x:f>
        <x:v>200601.51810809702</x:v>
      </x:c>
      <x:c r="G16" s="5" t="n">
        <x:f>Assumptions!$B$6*F16*C16</x:f>
        <x:v>3009.0227716214554</x:v>
      </x:c>
      <x:c r="H16" s="5" t="n">
        <x:f>G16*IF(Assumptions!$B$8=0,Assumptions!$B$9,(1-(1+Assumptions!$B$8)^(-Assumptions!$B$9))/Assumptions!$B$8)</x:f>
        <x:v>33455.48096710369</x:v>
      </x:c>
      <x:c r="I16" s="5" t="n">
        <x:f>H16/(1+Assumptions!$B$4)^E16</x:f>
        <x:v>9879.49625806744</x:v>
      </x:c>
    </x:row>
    <x:row r="17">
      <x:c r="A17" t="inlineStr">
        <x:is>
          <x:t xml:space="preserve">E014</x:t>
        </x:is>
      </x:c>
      <x:c r="B17" t="n">
        <x:v>43</x:v>
      </x:c>
      <x:c r="C17" t="n">
        <x:v>8</x:v>
      </x:c>
      <x:c r="D17" s="5" t="n">
        <x:v>71034</x:v>
      </x:c>
      <x:c r="E17" s="7" t="n">
        <x:f>MAX(Assumptions!$B$7-B17,0)</x:f>
        <x:v>22</x:v>
      </x:c>
      <x:c r="F17" s="5" t="n">
        <x:f>D17*(1+Assumptions!$B$5)^E17</x:f>
        <x:v>168344.81143576247</x:v>
      </x:c>
      <x:c r="G17" s="5" t="n">
        <x:f>Assumptions!$B$6*F17*C17</x:f>
        <x:v>20201.377372291496</x:v>
      </x:c>
      <x:c r="H17" s="5" t="n">
        <x:f>G17*IF(Assumptions!$B$8=0,Assumptions!$B$9,(1-(1+Assumptions!$B$8)^(-Assumptions!$B$9))/Assumptions!$B$8)</x:f>
        <x:v>224606.74028857137</x:v>
      </x:c>
      <x:c r="I17" s="5" t="n">
        <x:f>H17/(1+Assumptions!$B$4)^E17</x:f>
        <x:v>76781.78521283442</x:v>
      </x:c>
    </x:row>
    <x:row r="18">
      <x:c r="A18" t="inlineStr">
        <x:is>
          <x:t xml:space="preserve">E015</x:t>
        </x:is>
      </x:c>
      <x:c r="B18" t="n">
        <x:v>42</x:v>
      </x:c>
      <x:c r="C18" t="n">
        <x:v>7</x:v>
      </x:c>
      <x:c r="D18" s="5" t="n">
        <x:v>68888</x:v>
      </x:c>
      <x:c r="E18" s="7" t="n">
        <x:f>MAX(Assumptions!$B$7-B18,0)</x:f>
        <x:v>23</x:v>
      </x:c>
      <x:c r="F18" s="5" t="n">
        <x:f>D18*(1+Assumptions!$B$5)^E18</x:f>
        <x:v>169789.3243375606</x:v>
      </x:c>
      <x:c r="G18" s="5" t="n">
        <x:f>Assumptions!$B$6*F18*C18</x:f>
        <x:v>17827.879055443864</x:v>
      </x:c>
      <x:c r="H18" s="5" t="n">
        <x:f>G18*IF(Assumptions!$B$8=0,Assumptions!$B$9,(1-(1+Assumptions!$B$8)^(-Assumptions!$B$9))/Assumptions!$B$8)</x:f>
        <x:v>198217.26643226043</x:v>
      </x:c>
      <x:c r="I18" s="5" t="n">
        <x:f>H18/(1+Assumptions!$B$4)^E18</x:f>
        <x:v>64533.85426381977</x:v>
      </x:c>
    </x:row>
    <x:row r="19">
      <x:c r="A19" t="inlineStr">
        <x:is>
          <x:t xml:space="preserve">E016</x:t>
        </x:is>
      </x:c>
      <x:c r="B19" t="n">
        <x:v>42</x:v>
      </x:c>
      <x:c r="C19" t="n">
        <x:v>19</x:v>
      </x:c>
      <x:c r="D19" s="5" t="n">
        <x:v>77536</x:v>
      </x:c>
      <x:c r="E19" s="7" t="n">
        <x:f>MAX(Assumptions!$B$7-B19,0)</x:f>
        <x:v>23</x:v>
      </x:c>
      <x:c r="F19" s="5" t="n">
        <x:f>D19*(1+Assumptions!$B$5)^E19</x:f>
        <x:v>191104.18435485277</x:v>
      </x:c>
      <x:c r="G19" s="5" t="n">
        <x:f>Assumptions!$B$6*F19*C19</x:f>
        <x:v>54464.69254113304</x:v>
      </x:c>
      <x:c r="H19" s="5" t="n">
        <x:f>G19*IF(Assumptions!$B$8=0,Assumptions!$B$9,(1-(1+Assumptions!$B$8)^(-Assumptions!$B$9))/Assumptions!$B$8)</x:f>
        <x:v>605559.5530462348</x:v>
      </x:c>
      <x:c r="I19" s="5" t="n">
        <x:f>H19/(1+Assumptions!$B$4)^E19</x:f>
        <x:v>197152.81442297864</x:v>
      </x:c>
    </x:row>
    <x:row r="20">
      <x:c r="A20" t="inlineStr">
        <x:is>
          <x:t xml:space="preserve">E017</x:t>
        </x:is>
      </x:c>
      <x:c r="B20" t="n">
        <x:v>26</x:v>
      </x:c>
      <x:c r="C20" t="n">
        <x:v>4</x:v>
      </x:c>
      <x:c r="D20" s="5" t="n">
        <x:v>127476</x:v>
      </x:c>
      <x:c r="E20" s="7" t="n">
        <x:f>MAX(Assumptions!$B$7-B20,0)</x:f>
        <x:v>39</x:v>
      </x:c>
      <x:c r="F20" s="5" t="n">
        <x:f>D20*(1+Assumptions!$B$5)^E20</x:f>
        <x:v>588475.8707373589</x:v>
      </x:c>
      <x:c r="G20" s="5" t="n">
        <x:f>Assumptions!$B$6*F20*C20</x:f>
        <x:v>35308.55224424153</x:v>
      </x:c>
      <x:c r="H20" s="5" t="n">
        <x:f>G20*IF(Assumptions!$B$8=0,Assumptions!$B$9,(1-(1+Assumptions!$B$8)^(-Assumptions!$B$9))/Assumptions!$B$8)</x:f>
        <x:v>392574.1635204268</x:v>
      </x:c>
      <x:c r="I20" s="5" t="n">
        <x:f>H20/(1+Assumptions!$B$4)^E20</x:f>
        <x:v>58551.63815625579</x:v>
      </x:c>
    </x:row>
    <x:row r="21">
      <x:c r="A21" t="inlineStr">
        <x:is>
          <x:t xml:space="preserve">E018</x:t>
        </x:is>
      </x:c>
      <x:c r="B21" t="n">
        <x:v>35</x:v>
      </x:c>
      <x:c r="C21" t="n">
        <x:v>6</x:v>
      </x:c>
      <x:c r="D21" s="5" t="n">
        <x:v>91138</x:v>
      </x:c>
      <x:c r="E21" s="7" t="n">
        <x:f>MAX(Assumptions!$B$7-B21,0)</x:f>
        <x:v>30</x:v>
      </x:c>
      <x:c r="F21" s="5" t="n">
        <x:f>D21*(1+Assumptions!$B$5)^E21</x:f>
        <x:v>295596.76226889004</x:v>
      </x:c>
      <x:c r="G21" s="5" t="n">
        <x:f>Assumptions!$B$6*F21*C21</x:f>
        <x:v>26603.708604200103</x:v>
      </x:c>
      <x:c r="H21" s="5" t="n">
        <x:f>G21*IF(Assumptions!$B$8=0,Assumptions!$B$9,(1-(1+Assumptions!$B$8)^(-Assumptions!$B$9))/Assumptions!$B$8)</x:f>
        <x:v>295790.3393940015</x:v>
      </x:c>
      <x:c r="I21" s="5" t="n">
        <x:f>H21/(1+Assumptions!$B$4)^E21</x:f>
        <x:v>68439.21406603436</x:v>
      </x:c>
    </x:row>
    <x:row r="22">
      <x:c r="A22" t="inlineStr">
        <x:is>
          <x:t xml:space="preserve">E019</x:t>
        </x:is>
      </x:c>
      <x:c r="B22" t="n">
        <x:v>41</x:v>
      </x:c>
      <x:c r="C22" t="n">
        <x:v>15</x:v>
      </x:c>
      <x:c r="D22" s="5" t="n">
        <x:v>72398</x:v>
      </x:c>
      <x:c r="E22" s="7" t="n">
        <x:f>MAX(Assumptions!$B$7-B22,0)</x:f>
        <x:v>24</x:v>
      </x:c>
      <x:c r="F22" s="5" t="n">
        <x:f>D22*(1+Assumptions!$B$5)^E22</x:f>
        <x:v>185578.09492983308</x:v>
      </x:c>
      <x:c r="G22" s="5" t="n">
        <x:f>Assumptions!$B$6*F22*C22</x:f>
        <x:v>41755.07135921244</x:v>
      </x:c>
      <x:c r="H22" s="5" t="n">
        <x:f>G22*IF(Assumptions!$B$8=0,Assumptions!$B$9,(1-(1+Assumptions!$B$8)^(-Assumptions!$B$9))/Assumptions!$B$8)</x:f>
        <x:v>464249.0606295509</x:v>
      </x:c>
      <x:c r="I22" s="5" t="n">
        <x:f>H22/(1+Assumptions!$B$4)^E22</x:f>
        <x:v>143948.73608008813</x:v>
      </x:c>
    </x:row>
    <x:row r="23">
      <x:c r="A23" t="inlineStr">
        <x:is>
          <x:t xml:space="preserve">E020</x:t>
        </x:is>
      </x:c>
      <x:c r="B23" t="n">
        <x:v>33</x:v>
      </x:c>
      <x:c r="C23" t="n">
        <x:v>12</x:v>
      </x:c>
      <x:c r="D23" s="5" t="n">
        <x:v>139804</x:v>
      </x:c>
      <x:c r="E23" s="7" t="n">
        <x:f>MAX(Assumptions!$B$7-B23,0)</x:f>
        <x:v>32</x:v>
      </x:c>
      <x:c r="F23" s="5" t="n">
        <x:f>D23*(1+Assumptions!$B$5)^E23</x:f>
        <x:v>490440.64504402864</x:v>
      </x:c>
      <x:c r="G23" s="5" t="n">
        <x:f>Assumptions!$B$6*F23*C23</x:f>
        <x:v>88279.31610792514</x:v>
      </x:c>
      <x:c r="H23" s="5" t="n">
        <x:f>G23*IF(Assumptions!$B$8=0,Assumptions!$B$9,(1-(1+Assumptions!$B$8)^(-Assumptions!$B$9))/Assumptions!$B$8)</x:f>
        <x:v>981523.6387347522</x:v>
      </x:c>
      <x:c r="I23" s="5" t="n">
        <x:f>H23/(1+Assumptions!$B$4)^E23</x:f>
        <x:v>205988.60347016863</x:v>
      </x:c>
    </x:row>
    <x:row r="24">
      <x:c r="A24" t="inlineStr">
        <x:is>
          <x:t xml:space="preserve">E021</x:t>
        </x:is>
      </x:c>
      <x:c r="B24" t="n">
        <x:v>38</x:v>
      </x:c>
      <x:c r="C24" t="n">
        <x:v>15</x:v>
      </x:c>
      <x:c r="D24" s="5" t="n">
        <x:v>148960</x:v>
      </x:c>
      <x:c r="E24" s="7" t="n">
        <x:f>MAX(Assumptions!$B$7-B24,0)</x:f>
        <x:v>27</x:v>
      </x:c>
      <x:c r="F24" s="5" t="n">
        <x:f>D24*(1+Assumptions!$B$5)^E24</x:f>
        <x:v>429506.58310133714</x:v>
      </x:c>
      <x:c r="G24" s="5" t="n">
        <x:f>Assumptions!$B$6*F24*C24</x:f>
        <x:v>96638.98119780085</x:v>
      </x:c>
      <x:c r="H24" s="5" t="n">
        <x:f>G24*IF(Assumptions!$B$8=0,Assumptions!$B$9,(1-(1+Assumptions!$B$8)^(-Assumptions!$B$9))/Assumptions!$B$8)</x:f>
        <x:v>1074469.634007161</x:v>
      </x:c>
      <x:c r="I24" s="5" t="n">
        <x:f>H24/(1+Assumptions!$B$4)^E24</x:f>
        <x:v>287794.8852856185</x:v>
      </x:c>
    </x:row>
    <x:row r="25">
      <x:c r="A25" t="inlineStr">
        <x:is>
          <x:t xml:space="preserve">E022</x:t>
        </x:is>
      </x:c>
      <x:c r="B25" t="n">
        <x:v>46</x:v>
      </x:c>
      <x:c r="C25" t="n">
        <x:v>17</x:v>
      </x:c>
      <x:c r="D25" s="5" t="n">
        <x:v>132959</x:v>
      </x:c>
      <x:c r="E25" s="7" t="n">
        <x:f>MAX(Assumptions!$B$7-B25,0)</x:f>
        <x:v>19</x:v>
      </x:c>
      <x:c r="F25" s="5" t="n">
        <x:f>D25*(1+Assumptions!$B$5)^E25</x:f>
        <x:v>280124.55959094287</x:v>
      </x:c>
      <x:c r="G25" s="5" t="n">
        <x:f>Assumptions!$B$6*F25*C25</x:f>
        <x:v>71431.76269569043</x:v>
      </x:c>
      <x:c r="H25" s="5" t="n">
        <x:f>G25*IF(Assumptions!$B$8=0,Assumptions!$B$9,(1-(1+Assumptions!$B$8)^(-Assumptions!$B$9))/Assumptions!$B$8)</x:f>
        <x:v>794206.0126133806</x:v>
      </x:c>
      <x:c r="I25" s="5" t="n">
        <x:f>H25/(1+Assumptions!$B$4)^E25</x:f>
        <x:v>314294.2880579088</x:v>
      </x:c>
    </x:row>
    <x:row r="26">
      <x:c r="A26" t="inlineStr">
        <x:is>
          <x:t xml:space="preserve">E023</x:t>
        </x:is>
      </x:c>
      <x:c r="B26" t="n">
        <x:v>54</x:v>
      </x:c>
      <x:c r="C26" t="n">
        <x:v>0</x:v>
      </x:c>
      <x:c r="D26" s="5" t="n">
        <x:v>89920</x:v>
      </x:c>
      <x:c r="E26" s="7" t="n">
        <x:f>MAX(Assumptions!$B$7-B26,0)</x:f>
        <x:v>11</x:v>
      </x:c>
      <x:c r="F26" s="5" t="n">
        <x:f>D26*(1+Assumptions!$B$5)^E26</x:f>
        <x:v>138427.70874385184</x:v>
      </x:c>
      <x:c r="G26" s="5" t="n">
        <x:f>Assumptions!$B$6*F26*C26</x:f>
        <x:v>0</x:v>
      </x:c>
      <x:c r="H26" s="5" t="n">
        <x:f>G26*IF(Assumptions!$B$8=0,Assumptions!$B$9,(1-(1+Assumptions!$B$8)^(-Assumptions!$B$9))/Assumptions!$B$8)</x:f>
        <x:v>0</x:v>
      </x:c>
      <x:c r="I26" s="5" t="n">
        <x:f>H26/(1+Assumptions!$B$4)^E26</x:f>
        <x:v>0</x:v>
      </x:c>
    </x:row>
    <x:row r="27">
      <x:c r="A27" t="inlineStr">
        <x:is>
          <x:t xml:space="preserve">E024</x:t>
        </x:is>
      </x:c>
      <x:c r="B27" t="n">
        <x:v>26</x:v>
      </x:c>
      <x:c r="C27" t="n">
        <x:v>4</x:v>
      </x:c>
      <x:c r="D27" s="5" t="n">
        <x:v>140046</x:v>
      </x:c>
      <x:c r="E27" s="7" t="n">
        <x:f>MAX(Assumptions!$B$7-B27,0)</x:f>
        <x:v>39</x:v>
      </x:c>
      <x:c r="F27" s="5" t="n">
        <x:f>D27*(1+Assumptions!$B$5)^E27</x:f>
        <x:v>646503.5912115548</x:v>
      </x:c>
      <x:c r="G27" s="5" t="n">
        <x:f>Assumptions!$B$6*F27*C27</x:f>
        <x:v>38790.215472693286</x:v>
      </x:c>
      <x:c r="H27" s="5" t="n">
        <x:f>G27*IF(Assumptions!$B$8=0,Assumptions!$B$9,(1-(1+Assumptions!$B$8)^(-Assumptions!$B$9))/Assumptions!$B$8)</x:f>
        <x:v>431284.6442026867</x:v>
      </x:c>
      <x:c r="I27" s="5" t="n">
        <x:f>H27/(1+Assumptions!$B$4)^E27</x:f>
        <x:v>64325.227628973276</x:v>
      </x:c>
    </x:row>
    <x:row r="28">
      <x:c r="A28" t="inlineStr">
        <x:is>
          <x:t xml:space="preserve">E025</x:t>
        </x:is>
      </x:c>
      <x:c r="B28" t="n">
        <x:v>55</x:v>
      </x:c>
      <x:c r="C28" t="n">
        <x:v>24</x:v>
      </x:c>
      <x:c r="D28" s="5" t="n">
        <x:v>114922</x:v>
      </x:c>
      <x:c r="E28" s="7" t="n">
        <x:f>MAX(Assumptions!$B$7-B28,0)</x:f>
        <x:v>10</x:v>
      </x:c>
      <x:c r="F28" s="5" t="n">
        <x:f>D28*(1+Assumptions!$B$5)^E28</x:f>
        <x:v>170112.63371138598</x:v>
      </x:c>
      <x:c r="G28" s="5" t="n">
        <x:f>Assumptions!$B$6*F28*C28</x:f>
        <x:v>61240.54813609895</x:v>
      </x:c>
      <x:c r="H28" s="5" t="n">
        <x:f>G28*IF(Assumptions!$B$8=0,Assumptions!$B$9,(1-(1+Assumptions!$B$8)^(-Assumptions!$B$9))/Assumptions!$B$8)</x:f>
        <x:v>680896.1407354898</x:v>
      </x:c>
      <x:c r="I28" s="5" t="n">
        <x:f>H28/(1+Assumptions!$B$4)^E28</x:f>
        <x:v>418011.16508227115</x:v>
      </x:c>
    </x:row>
    <x:row r="29">
      <x:c r="A29" t="inlineStr">
        <x:is>
          <x:t xml:space="preserve">E026</x:t>
        </x:is>
      </x:c>
      <x:c r="B29" t="n">
        <x:v>33</x:v>
      </x:c>
      <x:c r="C29" t="n">
        <x:v>4</x:v>
      </x:c>
      <x:c r="D29" s="5" t="n">
        <x:v>41478</x:v>
      </x:c>
      <x:c r="E29" s="7" t="n">
        <x:f>MAX(Assumptions!$B$7-B29,0)</x:f>
        <x:v>32</x:v>
      </x:c>
      <x:c r="F29" s="5" t="n">
        <x:f>D29*(1+Assumptions!$B$5)^E29</x:f>
        <x:v>145507.26070166964</x:v>
      </x:c>
      <x:c r="G29" s="5" t="n">
        <x:f>Assumptions!$B$6*F29*C29</x:f>
        <x:v>8730.435642100178</x:v>
      </x:c>
      <x:c r="H29" s="5" t="n">
        <x:f>G29*IF(Assumptions!$B$8=0,Assumptions!$B$9,(1-(1+Assumptions!$B$8)^(-Assumptions!$B$9))/Assumptions!$B$8)</x:f>
        <x:v>97068.3659204793</x:v>
      </x:c>
      <x:c r="I29" s="5" t="n">
        <x:f>H29/(1+Assumptions!$B$4)^E29</x:f>
        <x:v>20371.365852039657</x:v>
      </x:c>
    </x:row>
    <x:row r="30">
      <x:c r="A30" t="inlineStr">
        <x:is>
          <x:t xml:space="preserve">E027</x:t>
        </x:is>
      </x:c>
      <x:c r="B30" t="n">
        <x:v>25</x:v>
      </x:c>
      <x:c r="C30" t="n">
        <x:v>3</x:v>
      </x:c>
      <x:c r="D30" s="5" t="n">
        <x:v>159255</x:v>
      </x:c>
      <x:c r="E30" s="7" t="n">
        <x:f>MAX(Assumptions!$B$7-B30,0)</x:f>
        <x:v>40</x:v>
      </x:c>
      <x:c r="F30" s="5" t="n">
        <x:f>D30*(1+Assumptions!$B$5)^E30</x:f>
        <x:v>764586.5401020523</x:v>
      </x:c>
      <x:c r="G30" s="5" t="n">
        <x:f>Assumptions!$B$6*F30*C30</x:f>
        <x:v>34406.39430459235</x:v>
      </x:c>
      <x:c r="H30" s="5" t="n">
        <x:f>G30*IF(Assumptions!$B$8=0,Assumptions!$B$9,(1-(1+Assumptions!$B$8)^(-Assumptions!$B$9))/Assumptions!$B$8)</x:f>
        <x:v>382543.6220224006</x:v>
      </x:c>
      <x:c r="I30" s="5" t="n">
        <x:f>H30/(1+Assumptions!$B$4)^E30</x:f>
        <x:v>54338.669799791416</x:v>
      </x:c>
    </x:row>
    <x:row r="31">
      <x:c r="A31" t="inlineStr">
        <x:is>
          <x:t xml:space="preserve">E028</x:t>
        </x:is>
      </x:c>
      <x:c r="B31" t="n">
        <x:v>55</x:v>
      </x:c>
      <x:c r="C31" t="n">
        <x:v>29</x:v>
      </x:c>
      <x:c r="D31" s="5" t="n">
        <x:v>82191</x:v>
      </x:c>
      <x:c r="E31" s="7" t="n">
        <x:f>MAX(Assumptions!$B$7-B31,0)</x:f>
        <x:v>10</x:v>
      </x:c>
      <x:c r="F31" s="5" t="n">
        <x:f>D31*(1+Assumptions!$B$5)^E31</x:f>
        <x:v>121662.75802172364</x:v>
      </x:c>
      <x:c r="G31" s="5" t="n">
        <x:f>Assumptions!$B$6*F31*C31</x:f>
        <x:v>52923.29973944978</x:v>
      </x:c>
      <x:c r="H31" s="5" t="n">
        <x:f>G31*IF(Assumptions!$B$8=0,Assumptions!$B$9,(1-(1+Assumptions!$B$8)^(-Assumptions!$B$9))/Assumptions!$B$8)</x:f>
        <x:v>588421.7506919651</x:v>
      </x:c>
      <x:c r="I31" s="5" t="n">
        <x:f>H31/(1+Assumptions!$B$4)^E31</x:f>
        <x:v>361239.91142145375</x:v>
      </x:c>
    </x:row>
    <x:row r="32">
      <x:c r="A32" t="inlineStr">
        <x:is>
          <x:t xml:space="preserve">E029</x:t>
        </x:is>
      </x:c>
      <x:c r="B32" t="n">
        <x:v>27</x:v>
      </x:c>
      <x:c r="C32" t="n">
        <x:v>2</x:v>
      </x:c>
      <x:c r="D32" s="5" t="n">
        <x:v>57630</x:v>
      </x:c>
      <x:c r="E32" s="7" t="n">
        <x:f>MAX(Assumptions!$B$7-B32,0)</x:f>
        <x:v>38</x:v>
      </x:c>
      <x:c r="F32" s="5" t="n">
        <x:f>D32*(1+Assumptions!$B$5)^E32</x:f>
        <x:v>255808.81914570034</x:v>
      </x:c>
      <x:c r="G32" s="5" t="n">
        <x:f>Assumptions!$B$6*F32*C32</x:f>
        <x:v>7674.26457437101</x:v>
      </x:c>
      <x:c r="H32" s="5" t="n">
        <x:f>G32*IF(Assumptions!$B$8=0,Assumptions!$B$9,(1-(1+Assumptions!$B$8)^(-Assumptions!$B$9))/Assumptions!$B$8)</x:f>
        <x:v>85325.44679481973</x:v>
      </x:c>
      <x:c r="I32" s="5" t="n">
        <x:f>H32/(1+Assumptions!$B$4)^E32</x:f>
        <x:v>13362.422716569694</x:v>
      </x:c>
    </x:row>
    <x:row r="33">
      <x:c r="A33" t="inlineStr">
        <x:is>
          <x:t xml:space="preserve">E030</x:t>
        </x:is>
      </x:c>
      <x:c r="B33" t="n">
        <x:v>28</x:v>
      </x:c>
      <x:c r="C33" t="n">
        <x:v>6</x:v>
      </x:c>
      <x:c r="D33" s="5" t="n">
        <x:v>115455</x:v>
      </x:c>
      <x:c r="E33" s="7" t="n">
        <x:f>MAX(Assumptions!$B$7-B33,0)</x:f>
        <x:v>37</x:v>
      </x:c>
      <x:c r="F33" s="5" t="n">
        <x:f>D33*(1+Assumptions!$B$5)^E33</x:f>
        <x:v>492772.31434060173</x:v>
      </x:c>
      <x:c r="G33" s="5" t="n">
        <x:f>Assumptions!$B$6*F33*C33</x:f>
        <x:v>44349.50829065415</x:v>
      </x:c>
      <x:c r="H33" s="5" t="n">
        <x:f>G33*IF(Assumptions!$B$8=0,Assumptions!$B$9,(1-(1+Assumptions!$B$8)^(-Assumptions!$B$9))/Assumptions!$B$8)</x:f>
        <x:v>493095.0156016453</x:v>
      </x:c>
      <x:c r="I33" s="5" t="n">
        <x:f>H33/(1+Assumptions!$B$4)^E33</x:f>
        <x:v>81082.3910062183</x:v>
      </x:c>
    </x:row>
    <x:row r="34">
      <x:c r="A34" t="inlineStr">
        <x:is>
          <x:t xml:space="preserve">E031</x:t>
        </x:is>
      </x:c>
      <x:c r="B34" t="n">
        <x:v>45</x:v>
      </x:c>
      <x:c r="C34" t="n">
        <x:v>5</x:v>
      </x:c>
      <x:c r="D34" s="5" t="n">
        <x:v>117815</x:v>
      </x:c>
      <x:c r="E34" s="7" t="n">
        <x:f>MAX(Assumptions!$B$7-B34,0)</x:f>
        <x:v>20</x:v>
      </x:c>
      <x:c r="F34" s="5" t="n">
        <x:f>D34*(1+Assumptions!$B$5)^E34</x:f>
        <x:v>258147.17309648247</x:v>
      </x:c>
      <x:c r="G34" s="5" t="n">
        <x:f>Assumptions!$B$6*F34*C34</x:f>
        <x:v>19361.037982236187</x:v>
      </x:c>
      <x:c r="H34" s="5" t="n">
        <x:f>G34*IF(Assumptions!$B$8=0,Assumptions!$B$9,(1-(1+Assumptions!$B$8)^(-Assumptions!$B$9))/Assumptions!$B$8)</x:f>
        <x:v>215263.52137542458</x:v>
      </x:c>
      <x:c r="I34" s="5" t="n">
        <x:f>H34/(1+Assumptions!$B$4)^E34</x:f>
        <x:v>81130.55725260483</x:v>
      </x:c>
    </x:row>
    <x:row r="35">
      <x:c r="A35" t="inlineStr">
        <x:is>
          <x:t xml:space="preserve">E032</x:t>
        </x:is>
      </x:c>
      <x:c r="B35" t="n">
        <x:v>59</x:v>
      </x:c>
      <x:c r="C35" t="n">
        <x:v>3</x:v>
      </x:c>
      <x:c r="D35" s="5" t="n">
        <x:v>66643</x:v>
      </x:c>
      <x:c r="E35" s="7" t="n">
        <x:f>MAX(Assumptions!$B$7-B35,0)</x:f>
        <x:v>6</x:v>
      </x:c>
      <x:c r="F35" s="5" t="n">
        <x:f>D35*(1+Assumptions!$B$5)^E35</x:f>
        <x:v>84324.65534962896</x:v>
      </x:c>
      <x:c r="G35" s="5" t="n">
        <x:f>Assumptions!$B$6*F35*C35</x:f>
        <x:v>3794.6094907333027</x:v>
      </x:c>
      <x:c r="H35" s="5" t="n">
        <x:f>G35*IF(Assumptions!$B$8=0,Assumptions!$B$9,(1-(1+Assumptions!$B$8)^(-Assumptions!$B$9))/Assumptions!$B$8)</x:f>
        <x:v>42189.93847175505</x:v>
      </x:c>
      <x:c r="I35" s="5" t="n">
        <x:f>H35/(1+Assumptions!$B$4)^E35</x:f>
        <x:v>31482.7816707756</x:v>
      </x:c>
    </x:row>
    <x:row r="36">
      <x:c r="A36" t="inlineStr">
        <x:is>
          <x:t xml:space="preserve">E033</x:t>
        </x:is>
      </x:c>
      <x:c r="B36" t="n">
        <x:v>36</x:v>
      </x:c>
      <x:c r="C36" t="n">
        <x:v>7</x:v>
      </x:c>
      <x:c r="D36" s="5" t="n">
        <x:v>95016</x:v>
      </x:c>
      <x:c r="E36" s="7" t="n">
        <x:f>MAX(Assumptions!$B$7-B36,0)</x:f>
        <x:v>29</x:v>
      </x:c>
      <x:c r="F36" s="5" t="n">
        <x:f>D36*(1+Assumptions!$B$5)^E36</x:f>
        <x:v>296321.7863584393</x:v>
      </x:c>
      <x:c r="G36" s="5" t="n">
        <x:f>Assumptions!$B$6*F36*C36</x:f>
        <x:v>31113.787567636122</x:v>
      </x:c>
      <x:c r="H36" s="5" t="n">
        <x:f>G36*IF(Assumptions!$B$8=0,Assumptions!$B$9,(1-(1+Assumptions!$B$8)^(-Assumptions!$B$9))/Assumptions!$B$8)</x:f>
        <x:v>345935.1446591544</x:v>
      </x:c>
      <x:c r="I36" s="5" t="n">
        <x:f>H36/(1+Assumptions!$B$4)^E36</x:f>
        <x:v>84043.67073021177</x:v>
      </x:c>
    </x:row>
    <x:row r="37">
      <x:c r="A37" t="inlineStr">
        <x:is>
          <x:t xml:space="preserve">E034</x:t>
        </x:is>
      </x:c>
      <x:c r="B37" t="n">
        <x:v>25</x:v>
      </x:c>
      <x:c r="C37" t="n">
        <x:v>1</x:v>
      </x:c>
      <x:c r="D37" s="5" t="n">
        <x:v>77073</x:v>
      </x:c>
      <x:c r="E37" s="7" t="n">
        <x:f>MAX(Assumptions!$B$7-B37,0)</x:f>
        <x:v>40</x:v>
      </x:c>
      <x:c r="F37" s="5" t="n">
        <x:f>D37*(1+Assumptions!$B$5)^E37</x:f>
        <x:v>370029.062856962</x:v>
      </x:c>
      <x:c r="G37" s="5" t="n">
        <x:f>Assumptions!$B$6*F37*C37</x:f>
        <x:v>5550.435942854429</x:v>
      </x:c>
      <x:c r="H37" s="5" t="n">
        <x:f>G37*IF(Assumptions!$B$8=0,Assumptions!$B$9,(1-(1+Assumptions!$B$8)^(-Assumptions!$B$9))/Assumptions!$B$8)</x:f>
        <x:v>61711.897230086935</x:v>
      </x:c>
      <x:c r="I37" s="5" t="n">
        <x:f>H37/(1+Assumptions!$B$4)^E37</x:f>
        <x:v>8765.908548092313</x:v>
      </x:c>
    </x:row>
    <x:row r="38">
      <x:c r="A38" t="inlineStr">
        <x:is>
          <x:t xml:space="preserve">E035</x:t>
        </x:is>
      </x:c>
      <x:c r="B38" t="n">
        <x:v>30</x:v>
      </x:c>
      <x:c r="C38" t="n">
        <x:v>6</x:v>
      </x:c>
      <x:c r="D38" s="5" t="n">
        <x:v>127113</x:v>
      </x:c>
      <x:c r="E38" s="7" t="n">
        <x:f>MAX(Assumptions!$B$7-B38,0)</x:f>
        <x:v>35</x:v>
      </x:c>
      <x:c r="F38" s="5" t="n">
        <x:f>D38*(1+Assumptions!$B$5)^E38</x:f>
        <x:v>501599.2103212626</x:v>
      </x:c>
      <x:c r="G38" s="5" t="n">
        <x:f>Assumptions!$B$6*F38*C38</x:f>
        <x:v>45143.928928913636</x:v>
      </x:c>
      <x:c r="H38" s="5" t="n">
        <x:f>G38*IF(Assumptions!$B$8=0,Assumptions!$B$9,(1-(1+Assumptions!$B$8)^(-Assumptions!$B$9))/Assumptions!$B$8)</x:f>
        <x:v>501927.6920419245</x:v>
      </x:c>
      <x:c r="I38" s="5" t="n">
        <x:f>H38/(1+Assumptions!$B$4)^E38</x:f>
        <x:v>90994.61451664088</x:v>
      </x:c>
    </x:row>
    <x:row r="39">
      <x:c r="A39" t="inlineStr">
        <x:is>
          <x:t xml:space="preserve">E036</x:t>
        </x:is>
      </x:c>
      <x:c r="B39" t="n">
        <x:v>56</x:v>
      </x:c>
      <x:c r="C39" t="n">
        <x:v>18</x:v>
      </x:c>
      <x:c r="D39" s="5" t="n">
        <x:v>151796</x:v>
      </x:c>
      <x:c r="E39" s="7" t="n">
        <x:f>MAX(Assumptions!$B$7-B39,0)</x:f>
        <x:v>9</x:v>
      </x:c>
      <x:c r="F39" s="5" t="n">
        <x:f>D39*(1+Assumptions!$B$5)^E39</x:f>
        <x:v>216053.03987833174</x:v>
      </x:c>
      <x:c r="G39" s="5" t="n">
        <x:f>Assumptions!$B$6*F39*C39</x:f>
        <x:v>58334.32076714957</x:v>
      </x:c>
      <x:c r="H39" s="5" t="n">
        <x:f>G39*IF(Assumptions!$B$8=0,Assumptions!$B$9,(1-(1+Assumptions!$B$8)^(-Assumptions!$B$9))/Assumptions!$B$8)</x:f>
        <x:v>648583.57888154</x:v>
      </x:c>
      <x:c r="I39" s="5" t="n">
        <x:f>H39/(1+Assumptions!$B$4)^E39</x:f>
        <x:v>418082.7578594896</x:v>
      </x:c>
    </x:row>
    <x:row r="40">
      <x:c r="A40" t="inlineStr">
        <x:is>
          <x:t xml:space="preserve">E037</x:t>
        </x:is>
      </x:c>
      <x:c r="B40" t="n">
        <x:v>45</x:v>
      </x:c>
      <x:c r="C40" t="n">
        <x:v>18</x:v>
      </x:c>
      <x:c r="D40" s="5" t="n">
        <x:v>106312</x:v>
      </x:c>
      <x:c r="E40" s="7" t="n">
        <x:f>MAX(Assumptions!$B$7-B40,0)</x:f>
        <x:v>20</x:v>
      </x:c>
      <x:c r="F40" s="5" t="n">
        <x:f>D40*(1+Assumptions!$B$5)^E40</x:f>
        <x:v>232942.68358216903</x:v>
      </x:c>
      <x:c r="G40" s="5" t="n">
        <x:f>Assumptions!$B$6*F40*C40</x:f>
        <x:v>62894.52456718563</x:v>
      </x:c>
      <x:c r="H40" s="5" t="n">
        <x:f>G40*IF(Assumptions!$B$8=0,Assumptions!$B$9,(1-(1+Assumptions!$B$8)^(-Assumptions!$B$9))/Assumptions!$B$8)</x:f>
        <x:v>699285.6914999862</x:v>
      </x:c>
      <x:c r="I40" s="5" t="n">
        <x:f>H40/(1+Assumptions!$B$4)^E40</x:f>
        <x:v>263553.4226499183</x:v>
      </x:c>
    </x:row>
    <x:row r="41">
      <x:c r="A41" t="inlineStr">
        <x:is>
          <x:t xml:space="preserve">E038</x:t>
        </x:is>
      </x:c>
      <x:c r="B41" t="n">
        <x:v>47</x:v>
      </x:c>
      <x:c r="C41" t="n">
        <x:v>6</x:v>
      </x:c>
      <x:c r="D41" s="5" t="n">
        <x:v>116822</x:v>
      </x:c>
      <x:c r="E41" s="7" t="n">
        <x:f>MAX(Assumptions!$B$7-B41,0)</x:f>
        <x:v>18</x:v>
      </x:c>
      <x:c r="F41" s="5" t="n">
        <x:f>D41*(1+Assumptions!$B$5)^E41</x:f>
        <x:v>236659.93695955092</x:v>
      </x:c>
      <x:c r="G41" s="5" t="n">
        <x:f>Assumptions!$B$6*F41*C41</x:f>
        <x:v>21299.394326359583</x:v>
      </x:c>
      <x:c r="H41" s="5" t="n">
        <x:f>G41*IF(Assumptions!$B$8=0,Assumptions!$B$9,(1-(1+Assumptions!$B$8)^(-Assumptions!$B$9))/Assumptions!$B$8)</x:f>
        <x:v>236814.9181909895</x:v>
      </x:c>
      <x:c r="I41" s="5" t="n">
        <x:f>H41/(1+Assumptions!$B$4)^E41</x:f>
        <x:v>98401.48988910936</x:v>
      </x:c>
    </x:row>
    <x:row r="42">
      <x:c r="A42" t="inlineStr">
        <x:is>
          <x:t xml:space="preserve">E039</x:t>
        </x:is>
      </x:c>
      <x:c r="B42" t="n">
        <x:v>38</x:v>
      </x:c>
      <x:c r="C42" t="n">
        <x:v>8</x:v>
      </x:c>
      <x:c r="D42" s="5" t="n">
        <x:v>131739</x:v>
      </x:c>
      <x:c r="E42" s="7" t="n">
        <x:f>MAX(Assumptions!$B$7-B42,0)</x:f>
        <x:v>27</x:v>
      </x:c>
      <x:c r="F42" s="5" t="n">
        <x:f>D42*(1+Assumptions!$B$5)^E42</x:f>
        <x:v>379852.09285168536</x:v>
      </x:c>
      <x:c r="G42" s="5" t="n">
        <x:f>Assumptions!$B$6*F42*C42</x:f>
        <x:v>45582.25114220224</x:v>
      </x:c>
      <x:c r="H42" s="5" t="n">
        <x:f>G42*IF(Assumptions!$B$8=0,Assumptions!$B$9,(1-(1+Assumptions!$B$8)^(-Assumptions!$B$9))/Assumptions!$B$8)</x:f>
        <x:v>506801.1282293927</x:v>
      </x:c>
      <x:c r="I42" s="5" t="n">
        <x:f>H42/(1+Assumptions!$B$4)^E42</x:f>
        <x:v>135745.83026366666</x:v>
      </x:c>
    </x:row>
    <x:row r="43">
      <x:c r="A43" t="inlineStr">
        <x:is>
          <x:t xml:space="preserve">E040</x:t>
        </x:is>
      </x:c>
      <x:c r="B43" t="n">
        <x:v>32</x:v>
      </x:c>
      <x:c r="C43" t="n">
        <x:v>1</x:v>
      </x:c>
      <x:c r="D43" s="5" t="n">
        <x:v>94468</x:v>
      </x:c>
      <x:c r="E43" s="7" t="n">
        <x:f>MAX(Assumptions!$B$7-B43,0)</x:f>
        <x:v>33</x:v>
      </x:c>
      <x:c r="F43" s="5" t="n">
        <x:f>D43*(1+Assumptions!$B$5)^E43</x:f>
        <x:v>344655.26544490916</x:v>
      </x:c>
      <x:c r="G43" s="5" t="n">
        <x:f>Assumptions!$B$6*F43*C43</x:f>
        <x:v>5169.828981673637</x:v>
      </x:c>
      <x:c r="H43" s="5" t="n">
        <x:f>G43*IF(Assumptions!$B$8=0,Assumptions!$B$9,(1-(1+Assumptions!$B$8)^(-Assumptions!$B$9))/Assumptions!$B$8)</x:f>
        <x:v>57480.16157629871</x:v>
      </x:c>
      <x:c r="I43" s="5" t="n">
        <x:f>H43/(1+Assumptions!$B$4)^E43</x:f>
        <x:v>11488.705870943068</x:v>
      </x:c>
    </x:row>
    <x:row r="44">
      <x:c r="A44" t="inlineStr">
        <x:is>
          <x:t xml:space="preserve">E041</x:t>
        </x:is>
      </x:c>
      <x:c r="B44" t="n">
        <x:v>30</x:v>
      </x:c>
      <x:c r="C44" t="n">
        <x:v>8</x:v>
      </x:c>
      <x:c r="D44" s="5" t="n">
        <x:v>152757</x:v>
      </x:c>
      <x:c r="E44" s="7" t="n">
        <x:f>MAX(Assumptions!$B$7-B44,0)</x:f>
        <x:v>35</x:v>
      </x:c>
      <x:c r="F44" s="5" t="n">
        <x:f>D44*(1+Assumptions!$B$5)^E44</x:f>
        <x:v>602792.7164888337</x:v>
      </x:c>
      <x:c r="G44" s="5" t="n">
        <x:f>Assumptions!$B$6*F44*C44</x:f>
        <x:v>72335.12597866004</x:v>
      </x:c>
      <x:c r="H44" s="5" t="n">
        <x:f>G44*IF(Assumptions!$B$8=0,Assumptions!$B$9,(1-(1+Assumptions!$B$8)^(-Assumptions!$B$9))/Assumptions!$B$8)</x:f>
        <x:v>804249.955585432</x:v>
      </x:c>
      <x:c r="I44" s="5" t="n">
        <x:f>H44/(1+Assumptions!$B$4)^E44</x:f>
        <x:v>145802.70394288033</x:v>
      </x:c>
    </x:row>
    <x:row r="45">
      <x:c r="A45" t="inlineStr">
        <x:is>
          <x:t xml:space="preserve">E042</x:t>
        </x:is>
      </x:c>
      <x:c r="B45" t="n">
        <x:v>55</x:v>
      </x:c>
      <x:c r="C45" t="n">
        <x:v>7</x:v>
      </x:c>
      <x:c r="D45" s="5" t="n">
        <x:v>41038</x:v>
      </x:c>
      <x:c r="E45" s="7" t="n">
        <x:f>MAX(Assumptions!$B$7-B45,0)</x:f>
        <x:v>10</x:v>
      </x:c>
      <x:c r="F45" s="5" t="n">
        <x:f>D45*(1+Assumptions!$B$5)^E45</x:f>
        <x:v>60746.264964479014</x:v>
      </x:c>
      <x:c r="G45" s="5" t="n">
        <x:f>Assumptions!$B$6*F45*C45</x:f>
        <x:v>6378.357821270296</x:v>
      </x:c>
      <x:c r="H45" s="5" t="n">
        <x:f>G45*IF(Assumptions!$B$8=0,Assumptions!$B$9,(1-(1+Assumptions!$B$8)^(-Assumptions!$B$9))/Assumptions!$B$8)</x:f>
        <x:v>70917.05343788293</x:v>
      </x:c>
      <x:c r="I45" s="5" t="n">
        <x:f>H45/(1+Assumptions!$B$4)^E45</x:f>
        <x:v>43536.91900757459</x:v>
      </x:c>
    </x:row>
    <x:row r="46">
      <x:c r="A46" t="inlineStr">
        <x:is>
          <x:t xml:space="preserve">E043</x:t>
        </x:is>
      </x:c>
      <x:c r="B46" t="n">
        <x:v>55</x:v>
      </x:c>
      <x:c r="C46" t="n">
        <x:v>14</x:v>
      </x:c>
      <x:c r="D46" s="5" t="n">
        <x:v>83581</x:v>
      </x:c>
      <x:c r="E46" s="7" t="n">
        <x:f>MAX(Assumptions!$B$7-B46,0)</x:f>
        <x:v>10</x:v>
      </x:c>
      <x:c r="F46" s="5" t="n">
        <x:f>D46*(1+Assumptions!$B$5)^E46</x:f>
        <x:v>123720.29757776014</x:v>
      </x:c>
      <x:c r="G46" s="5" t="n">
        <x:f>Assumptions!$B$6*F46*C46</x:f>
        <x:v>25981.262491329628</x:v>
      </x:c>
      <x:c r="H46" s="5" t="n">
        <x:f>G46*IF(Assumptions!$B$8=0,Assumptions!$B$9,(1-(1+Assumptions!$B$8)^(-Assumptions!$B$9))/Assumptions!$B$8)</x:f>
        <x:v>288869.7423554605</x:v>
      </x:c>
      <x:c r="I46" s="5" t="n">
        <x:f>H46/(1+Assumptions!$B$4)^E46</x:f>
        <x:v>177340.9633789216</x:v>
      </x:c>
    </x:row>
    <x:row r="47">
      <x:c r="A47" t="inlineStr">
        <x:is>
          <x:t xml:space="preserve">E044</x:t>
        </x:is>
      </x:c>
      <x:c r="B47" t="n">
        <x:v>37</x:v>
      </x:c>
      <x:c r="C47" t="n">
        <x:v>16</x:v>
      </x:c>
      <x:c r="D47" s="5" t="n">
        <x:v>124258</x:v>
      </x:c>
      <x:c r="E47" s="7" t="n">
        <x:f>MAX(Assumptions!$B$7-B47,0)</x:f>
        <x:v>28</x:v>
      </x:c>
      <x:c r="F47" s="5" t="n">
        <x:f>D47*(1+Assumptions!$B$5)^E47</x:f>
        <x:v>372612.87703495024</x:v>
      </x:c>
      <x:c r="G47" s="5" t="n">
        <x:f>Assumptions!$B$6*F47*C47</x:f>
        <x:v>89427.09048838806</x:v>
      </x:c>
      <x:c r="H47" s="5" t="n">
        <x:f>G47*IF(Assumptions!$B$8=0,Assumptions!$B$9,(1-(1+Assumptions!$B$8)^(-Assumptions!$B$9))/Assumptions!$B$8)</x:f>
        <x:v>994285.0389814556</x:v>
      </x:c>
      <x:c r="I47" s="5" t="n">
        <x:f>H47/(1+Assumptions!$B$4)^E47</x:f>
        <x:v>253635.7869507319</x:v>
      </x:c>
    </x:row>
    <x:row r="48">
      <x:c r="A48" t="inlineStr">
        <x:is>
          <x:t xml:space="preserve">E045</x:t>
        </x:is>
      </x:c>
      <x:c r="B48" t="n">
        <x:v>26</x:v>
      </x:c>
      <x:c r="C48" t="n">
        <x:v>5</x:v>
      </x:c>
      <x:c r="D48" s="5" t="n">
        <x:v>78859</x:v>
      </x:c>
      <x:c r="E48" s="7" t="n">
        <x:f>MAX(Assumptions!$B$7-B48,0)</x:f>
        <x:v>39</x:v>
      </x:c>
      <x:c r="F48" s="5" t="n">
        <x:f>D48*(1+Assumptions!$B$5)^E48</x:f>
        <x:v>364042.00547928544</x:v>
      </x:c>
      <x:c r="G48" s="5" t="n">
        <x:f>Assumptions!$B$6*F48*C48</x:f>
        <x:v>27303.150410946404</x:v>
      </x:c>
      <x:c r="H48" s="5" t="n">
        <x:f>G48*IF(Assumptions!$B$8=0,Assumptions!$B$9,(1-(1+Assumptions!$B$8)^(-Assumptions!$B$9))/Assumptions!$B$8)</x:f>
        <x:v>303567.0043876625</x:v>
      </x:c>
      <x:c r="I48" s="5" t="n">
        <x:f>H48/(1+Assumptions!$B$4)^E48</x:f>
        <x:v>45276.40137520175</x:v>
      </x:c>
    </x:row>
    <x:row r="49">
      <x:c r="A49" t="inlineStr">
        <x:is>
          <x:t xml:space="preserve">E046</x:t>
        </x:is>
      </x:c>
      <x:c r="B49" t="n">
        <x:v>41</x:v>
      </x:c>
      <x:c r="C49" t="n">
        <x:v>11</x:v>
      </x:c>
      <x:c r="D49" s="5" t="n">
        <x:v>73854</x:v>
      </x:c>
      <x:c r="E49" s="7" t="n">
        <x:f>MAX(Assumptions!$B$7-B49,0)</x:f>
        <x:v>24</x:v>
      </x:c>
      <x:c r="F49" s="5" t="n">
        <x:f>D49*(1+Assumptions!$B$5)^E49</x:f>
        <x:v>189310.26579391546</x:v>
      </x:c>
      <x:c r="G49" s="5" t="n">
        <x:f>Assumptions!$B$6*F49*C49</x:f>
        <x:v>31236.19385599605</x:v>
      </x:c>
      <x:c r="H49" s="5" t="n">
        <x:f>G49*IF(Assumptions!$B$8=0,Assumptions!$B$9,(1-(1+Assumptions!$B$8)^(-Assumptions!$B$9))/Assumptions!$B$8)</x:f>
        <x:v>347296.1051972738</x:v>
      </x:c>
      <x:c r="I49" s="5" t="n">
        <x:f>H49/(1+Assumptions!$B$4)^E49</x:f>
        <x:v>107685.37758782206</x:v>
      </x:c>
    </x:row>
    <x:row r="50">
      <x:c r="A50" t="inlineStr">
        <x:is>
          <x:t xml:space="preserve">E047</x:t>
        </x:is>
      </x:c>
      <x:c r="B50" t="n">
        <x:v>49</x:v>
      </x:c>
      <x:c r="C50" t="n">
        <x:v>4</x:v>
      </x:c>
      <x:c r="D50" s="5" t="n">
        <x:v>66086</x:v>
      </x:c>
      <x:c r="E50" s="7" t="n">
        <x:f>MAX(Assumptions!$B$7-B50,0)</x:f>
        <x:v>16</x:v>
      </x:c>
      <x:c r="F50" s="5" t="n">
        <x:f>D50*(1+Assumptions!$B$5)^E50</x:f>
        <x:v>123777.8386051273</x:v>
      </x:c>
      <x:c r="G50" s="5" t="n">
        <x:f>Assumptions!$B$6*F50*C50</x:f>
        <x:v>7426.670316307637</x:v>
      </x:c>
      <x:c r="H50" s="5" t="n">
        <x:f>G50*IF(Assumptions!$B$8=0,Assumptions!$B$9,(1-(1+Assumptions!$B$8)^(-Assumptions!$B$9))/Assumptions!$B$8)</x:f>
        <x:v>82572.59790769093</x:v>
      </x:c>
      <x:c r="I50" s="5" t="n">
        <x:f>H50/(1+Assumptions!$B$4)^E50</x:f>
        <x:v>37827.45850227618</x:v>
      </x:c>
    </x:row>
    <x:row r="51">
      <x:c r="A51" t="inlineStr">
        <x:is>
          <x:t xml:space="preserve">E048</x:t>
        </x:is>
      </x:c>
      <x:c r="B51" t="n">
        <x:v>50</x:v>
      </x:c>
      <x:c r="C51" t="n">
        <x:v>23</x:v>
      </x:c>
      <x:c r="D51" s="5" t="n">
        <x:v>95732</x:v>
      </x:c>
      <x:c r="E51" s="7" t="n">
        <x:f>MAX(Assumptions!$B$7-B51,0)</x:f>
        <x:v>15</x:v>
      </x:c>
      <x:c r="F51" s="5" t="n">
        <x:f>D51*(1+Assumptions!$B$5)^E51</x:f>
        <x:v>172407.92366918814</x:v>
      </x:c>
      <x:c r="G51" s="5" t="n">
        <x:f>Assumptions!$B$6*F51*C51</x:f>
        <x:v>59480.733665869906</x:v>
      </x:c>
      <x:c r="H51" s="5" t="n">
        <x:f>G51*IF(Assumptions!$B$8=0,Assumptions!$B$9,(1-(1+Assumptions!$B$8)^(-Assumptions!$B$9))/Assumptions!$B$8)</x:f>
        <x:v>661329.8416467475</x:v>
      </x:c>
      <x:c r="I51" s="5" t="n">
        <x:f>H51/(1+Assumptions!$B$4)^E51</x:f>
        <x:v>318110.9613098792</x:v>
      </x:c>
    </x:row>
    <x:row r="52">
      <x:c r="A52" t="inlineStr">
        <x:is>
          <x:t xml:space="preserve">E049</x:t>
        </x:is>
      </x:c>
      <x:c r="B52" t="n">
        <x:v>30</x:v>
      </x:c>
      <x:c r="C52" t="n">
        <x:v>0</x:v>
      </x:c>
      <x:c r="D52" s="5" t="n">
        <x:v>146185</x:v>
      </x:c>
      <x:c r="E52" s="7" t="n">
        <x:f>MAX(Assumptions!$B$7-B52,0)</x:f>
        <x:v>35</x:v>
      </x:c>
      <x:c r="F52" s="5" t="n">
        <x:f>D52*(1+Assumptions!$B$5)^E52</x:f>
        <x:v>576859.0196188728</x:v>
      </x:c>
      <x:c r="G52" s="5" t="n">
        <x:f>Assumptions!$B$6*F52*C52</x:f>
        <x:v>0</x:v>
      </x:c>
      <x:c r="H52" s="5" t="n">
        <x:f>G52*IF(Assumptions!$B$8=0,Assumptions!$B$9,(1-(1+Assumptions!$B$8)^(-Assumptions!$B$9))/Assumptions!$B$8)</x:f>
        <x:v>0</x:v>
      </x:c>
      <x:c r="I52" s="5" t="n">
        <x:f>H52/(1+Assumptions!$B$4)^E52</x:f>
        <x:v>0</x:v>
      </x:c>
    </x:row>
    <x:row r="53">
      <x:c r="A53" t="inlineStr">
        <x:is>
          <x:t xml:space="preserve">E050</x:t>
        </x:is>
      </x:c>
      <x:c r="B53" t="n">
        <x:v>37</x:v>
      </x:c>
      <x:c r="C53" t="n">
        <x:v>8</x:v>
      </x:c>
      <x:c r="D53" s="5" t="n">
        <x:v>103450</x:v>
      </x:c>
      <x:c r="E53" s="7" t="n">
        <x:f>MAX(Assumptions!$B$7-B53,0)</x:f>
        <x:v>28</x:v>
      </x:c>
      <x:c r="F53" s="5" t="n">
        <x:f>D53*(1+Assumptions!$B$5)^E53</x:f>
        <x:v>310215.8583694056</x:v>
      </x:c>
      <x:c r="G53" s="5" t="n">
        <x:f>Assumptions!$B$6*F53*C53</x:f>
        <x:v>37225.90300432867</x:v>
      </x:c>
      <x:c r="H53" s="5" t="n">
        <x:f>G53*IF(Assumptions!$B$8=0,Assumptions!$B$9,(1-(1+Assumptions!$B$8)^(-Assumptions!$B$9))/Assumptions!$B$8)</x:f>
        <x:v>413892.0121144376</x:v>
      </x:c>
      <x:c r="I53" s="5" t="n">
        <x:f>H53/(1+Assumptions!$B$4)^E53</x:f>
        <x:v>105581.21875474098</x:v>
      </x:c>
    </x:row>
    <x:row r="54">
      <x:c r="A54" t="inlineStr">
        <x:is>
          <x:t xml:space="preserve">E051</x:t>
        </x:is>
      </x:c>
      <x:c r="B54" t="n">
        <x:v>28</x:v>
      </x:c>
      <x:c r="C54" t="n">
        <x:v>3</x:v>
      </x:c>
      <x:c r="D54" s="5" t="n">
        <x:v>97315</x:v>
      </x:c>
      <x:c r="E54" s="7" t="n">
        <x:f>MAX(Assumptions!$B$7-B54,0)</x:f>
        <x:v>37</x:v>
      </x:c>
      <x:c r="F54" s="5" t="n">
        <x:f>D54*(1+Assumptions!$B$5)^E54</x:f>
        <x:v>415349.16435022873</x:v>
      </x:c>
      <x:c r="G54" s="5" t="n">
        <x:f>Assumptions!$B$6*F54*C54</x:f>
        <x:v>18690.712395760293</x:v>
      </x:c>
      <x:c r="H54" s="5" t="n">
        <x:f>G54*IF(Assumptions!$B$8=0,Assumptions!$B$9,(1-(1+Assumptions!$B$8)^(-Assumptions!$B$9))/Assumptions!$B$8)</x:f>
        <x:v>207810.58179929026</x:v>
      </x:c>
      <x:c r="I54" s="5" t="n">
        <x:f>H54/(1+Assumptions!$B$4)^E54</x:f>
        <x:v>34171.46455662437</x:v>
      </x:c>
    </x:row>
    <x:row r="55">
      <x:c r="A55" t="inlineStr">
        <x:is>
          <x:t xml:space="preserve">E052</x:t>
        </x:is>
      </x:c>
      <x:c r="B55" t="n">
        <x:v>55</x:v>
      </x:c>
      <x:c r="C55" t="n">
        <x:v>24</x:v>
      </x:c>
      <x:c r="D55" s="5" t="n">
        <x:v>101906</x:v>
      </x:c>
      <x:c r="E55" s="7" t="n">
        <x:f>MAX(Assumptions!$B$7-B55,0)</x:f>
        <x:v>10</x:v>
      </x:c>
      <x:c r="F55" s="5" t="n">
        <x:f>D55*(1+Assumptions!$B$5)^E55</x:f>
        <x:v>150845.7740988888</x:v>
      </x:c>
      <x:c r="G55" s="5" t="n">
        <x:f>Assumptions!$B$6*F55*C55</x:f>
        <x:v>54304.47867559997</x:v>
      </x:c>
      <x:c r="H55" s="5" t="n">
        <x:f>G55*IF(Assumptions!$B$8=0,Assumptions!$B$9,(1-(1+Assumptions!$B$8)^(-Assumptions!$B$9))/Assumptions!$B$8)</x:f>
        <x:v>603778.2332172327</x:v>
      </x:c>
      <x:c r="I55" s="5" t="n">
        <x:f>H55/(1+Assumptions!$B$4)^E55</x:f>
        <x:v>370667.4595714826</x:v>
      </x:c>
    </x:row>
    <x:row r="56">
      <x:c r="A56" t="inlineStr">
        <x:is>
          <x:t xml:space="preserve">E053</x:t>
        </x:is>
      </x:c>
      <x:c r="B56" t="n">
        <x:v>35</x:v>
      </x:c>
      <x:c r="C56" t="n">
        <x:v>5</x:v>
      </x:c>
      <x:c r="D56" s="5" t="n">
        <x:v>155293</x:v>
      </x:c>
      <x:c r="E56" s="7" t="n">
        <x:f>MAX(Assumptions!$B$7-B56,0)</x:f>
        <x:v>30</x:v>
      </x:c>
      <x:c r="F56" s="5" t="n">
        <x:f>D56*(1+Assumptions!$B$5)^E56</x:f>
        <x:v>503676.92952470697</x:v>
      </x:c>
      <x:c r="G56" s="5" t="n">
        <x:f>Assumptions!$B$6*F56*C56</x:f>
        <x:v>37775.769714353024</x:v>
      </x:c>
      <x:c r="H56" s="5" t="n">
        <x:f>G56*IF(Assumptions!$B$8=0,Assumptions!$B$9,(1-(1+Assumptions!$B$8)^(-Assumptions!$B$9))/Assumptions!$B$8)</x:f>
        <x:v>420005.64323254005</x:v>
      </x:c>
      <x:c r="I56" s="5" t="n">
        <x:f>H56/(1+Assumptions!$B$4)^E56</x:f>
        <x:v>97179.8341522076</x:v>
      </x:c>
    </x:row>
    <x:row r="57">
      <x:c r="A57" t="inlineStr">
        <x:is>
          <x:t xml:space="preserve">E054</x:t>
        </x:is>
      </x:c>
      <x:c r="B57" t="n">
        <x:v>25</x:v>
      </x:c>
      <x:c r="C57" t="n">
        <x:v>1</x:v>
      </x:c>
      <x:c r="D57" s="5" t="n">
        <x:v>125904</x:v>
      </x:c>
      <x:c r="E57" s="7" t="n">
        <x:f>MAX(Assumptions!$B$7-B57,0)</x:f>
        <x:v>40</x:v>
      </x:c>
      <x:c r="F57" s="5" t="n">
        <x:f>D57*(1+Assumptions!$B$5)^E57</x:f>
        <x:v>604467.7011397368</x:v>
      </x:c>
      <x:c r="G57" s="5" t="n">
        <x:f>Assumptions!$B$6*F57*C57</x:f>
        <x:v>9067.015517096052</x:v>
      </x:c>
      <x:c r="H57" s="5" t="n">
        <x:f>G57*IF(Assumptions!$B$8=0,Assumptions!$B$9,(1-(1+Assumptions!$B$8)^(-Assumptions!$B$9))/Assumptions!$B$8)</x:f>
        <x:v>100810.59137255413</x:v>
      </x:c>
      <x:c r="I57" s="5" t="n">
        <x:f>H57/(1+Assumptions!$B$4)^E57</x:f>
        <x:v>14319.709234608936</x:v>
      </x:c>
    </x:row>
    <x:row r="58">
      <x:c r="A58" t="inlineStr">
        <x:is>
          <x:t xml:space="preserve">E055</x:t>
        </x:is>
      </x:c>
      <x:c r="B58" t="n">
        <x:v>53</x:v>
      </x:c>
      <x:c r="C58" t="n">
        <x:v>27</x:v>
      </x:c>
      <x:c r="D58" s="5" t="n">
        <x:v>58333</x:v>
      </x:c>
      <x:c r="E58" s="7" t="n">
        <x:f>MAX(Assumptions!$B$7-B58,0)</x:f>
        <x:v>12</x:v>
      </x:c>
      <x:c r="F58" s="5" t="n">
        <x:f>D58*(1+Assumptions!$B$5)^E58</x:f>
        <x:v>93393.01240570856</x:v>
      </x:c>
      <x:c r="G58" s="5" t="n">
        <x:f>Assumptions!$B$6*F58*C58</x:f>
        <x:v>37824.17002431197</x:v>
      </x:c>
      <x:c r="H58" s="5" t="n">
        <x:f>G58*IF(Assumptions!$B$8=0,Assumptions!$B$9,(1-(1+Assumptions!$B$8)^(-Assumptions!$B$9))/Assumptions!$B$8)</x:f>
        <x:v>420543.7766305006</x:v>
      </x:c>
      <x:c r="I58" s="5" t="n">
        <x:f>H58/(1+Assumptions!$B$4)^E58</x:f>
        <x:v>234174.51080956814</x:v>
      </x:c>
    </x:row>
    <x:row r="59">
      <x:c r="A59" t="inlineStr">
        <x:is>
          <x:t xml:space="preserve">E056</x:t>
        </x:is>
      </x:c>
      <x:c r="B59" t="n">
        <x:v>52</x:v>
      </x:c>
      <x:c r="C59" t="n">
        <x:v>26</x:v>
      </x:c>
      <x:c r="D59" s="5" t="n">
        <x:v>71232</x:v>
      </x:c>
      <x:c r="E59" s="7" t="n">
        <x:f>MAX(Assumptions!$B$7-B59,0)</x:f>
        <x:v>13</x:v>
      </x:c>
      <x:c r="F59" s="5" t="n">
        <x:f>D59*(1+Assumptions!$B$5)^E59</x:f>
        <x:v>118606.51607273362</x:v>
      </x:c>
      <x:c r="G59" s="5" t="n">
        <x:f>Assumptions!$B$6*F59*C59</x:f>
        <x:v>46256.54126836611</x:v>
      </x:c>
      <x:c r="H59" s="5" t="n">
        <x:f>G59*IF(Assumptions!$B$8=0,Assumptions!$B$9,(1-(1+Assumptions!$B$8)^(-Assumptions!$B$9))/Assumptions!$B$8)</x:f>
        <x:v>514298.1470937681</x:v>
      </x:c>
      <x:c r="I59" s="5" t="n">
        <x:f>H59/(1+Assumptions!$B$4)^E59</x:f>
        <x:v>272743.2880011394</x:v>
      </x:c>
    </x:row>
    <x:row r="60">
      <x:c r="A60" t="inlineStr">
        <x:is>
          <x:t xml:space="preserve">E057</x:t>
        </x:is>
      </x:c>
      <x:c r="B60" t="n">
        <x:v>56</x:v>
      </x:c>
      <x:c r="C60" t="n">
        <x:v>2</x:v>
      </x:c>
      <x:c r="D60" s="5" t="n">
        <x:v>95826</x:v>
      </x:c>
      <x:c r="E60" s="7" t="n">
        <x:f>MAX(Assumptions!$B$7-B60,0)</x:f>
        <x:v>9</x:v>
      </x:c>
      <x:c r="F60" s="5" t="n">
        <x:f>D60*(1+Assumptions!$B$5)^E60</x:f>
        <x:v>136390.27773710122</x:v>
      </x:c>
      <x:c r="G60" s="5" t="n">
        <x:f>Assumptions!$B$6*F60*C60</x:f>
        <x:v>4091.7083321130362</x:v>
      </x:c>
      <x:c r="H60" s="5" t="n">
        <x:f>G60*IF(Assumptions!$B$8=0,Assumptions!$B$9,(1-(1+Assumptions!$B$8)^(-Assumptions!$B$9))/Assumptions!$B$8)</x:f>
        <x:v>45493.198495863195</x:v>
      </x:c>
      <x:c r="I60" s="5" t="n">
        <x:f>H60/(1+Assumptions!$B$4)^E60</x:f>
        <x:v>29325.321377699493</x:v>
      </x:c>
    </x:row>
    <x:row r="61">
      <x:c r="A61" t="inlineStr">
        <x:is>
          <x:t xml:space="preserve">E058</x:t>
        </x:is>
      </x:c>
      <x:c r="B61" t="n">
        <x:v>30</x:v>
      </x:c>
      <x:c r="C61" t="n">
        <x:v>3</x:v>
      </x:c>
      <x:c r="D61" s="5" t="n">
        <x:v>120224</x:v>
      </x:c>
      <x:c r="E61" s="7" t="n">
        <x:f>MAX(Assumptions!$B$7-B61,0)</x:f>
        <x:v>35</x:v>
      </x:c>
      <x:c r="F61" s="5" t="n">
        <x:f>D61*(1+Assumptions!$B$5)^E61</x:f>
        <x:v>474414.6032401365</x:v>
      </x:c>
      <x:c r="G61" s="5" t="n">
        <x:f>Assumptions!$B$6*F61*C61</x:f>
        <x:v>21348.65714580614</x:v>
      </x:c>
      <x:c r="H61" s="5" t="n">
        <x:f>G61*IF(Assumptions!$B$8=0,Assumptions!$B$9,(1-(1+Assumptions!$B$8)^(-Assumptions!$B$9))/Assumptions!$B$8)</x:f>
        <x:v>237362.64130359728</x:v>
      </x:c>
      <x:c r="I61" s="5" t="n">
        <x:f>H61/(1+Assumptions!$B$4)^E61</x:f>
        <x:v>43031.54097397053</x:v>
      </x:c>
    </x:row>
    <x:row r="62">
      <x:c r="A62" t="inlineStr">
        <x:is>
          <x:t xml:space="preserve">E059</x:t>
        </x:is>
      </x:c>
      <x:c r="B62" t="n">
        <x:v>38</x:v>
      </x:c>
      <x:c r="C62" t="n">
        <x:v>4</x:v>
      </x:c>
      <x:c r="D62" s="5" t="n">
        <x:v>73587</x:v>
      </x:c>
      <x:c r="E62" s="7" t="n">
        <x:f>MAX(Assumptions!$B$7-B62,0)</x:f>
        <x:v>27</x:v>
      </x:c>
      <x:c r="F62" s="5" t="n">
        <x:f>D62*(1+Assumptions!$B$5)^E62</x:f>
        <x:v>212178.4434121784</x:v>
      </x:c>
      <x:c r="G62" s="5" t="n">
        <x:f>Assumptions!$B$6*F62*C62</x:f>
        <x:v>12730.706604730703</x:v>
      </x:c>
      <x:c r="H62" s="5" t="n">
        <x:f>G62*IF(Assumptions!$B$8=0,Assumptions!$B$9,(1-(1+Assumptions!$B$8)^(-Assumptions!$B$9))/Assumptions!$B$8)</x:f>
        <x:v>141544.92831665764</x:v>
      </x:c>
      <x:c r="I62" s="5" t="n">
        <x:f>H62/(1+Assumptions!$B$4)^E62</x:f>
        <x:v>37912.57111262587</x:v>
      </x:c>
    </x:row>
    <x:row r="63">
      <x:c r="A63" t="inlineStr">
        <x:is>
          <x:t xml:space="preserve">E060</x:t>
        </x:is>
      </x:c>
      <x:c r="B63" t="n">
        <x:v>51</x:v>
      </x:c>
      <x:c r="C63" t="n">
        <x:v>28</x:v>
      </x:c>
      <x:c r="D63" s="5" t="n">
        <x:v>122766</x:v>
      </x:c>
      <x:c r="E63" s="7" t="n">
        <x:f>MAX(Assumptions!$B$7-B63,0)</x:f>
        <x:v>14</x:v>
      </x:c>
      <x:c r="F63" s="5" t="n">
        <x:f>D63*(1+Assumptions!$B$5)^E63</x:f>
        <x:v>212590.99076640588</x:v>
      </x:c>
      <x:c r="G63" s="5" t="n">
        <x:f>Assumptions!$B$6*F63*C63</x:f>
        <x:v>89288.21612189047</x:v>
      </x:c>
      <x:c r="H63" s="5" t="n">
        <x:f>G63*IF(Assumptions!$B$8=0,Assumptions!$B$9,(1-(1+Assumptions!$B$8)^(-Assumptions!$B$9))/Assumptions!$B$8)</x:f>
        <x:v>992740.9799703385</x:v>
      </x:c>
      <x:c r="I63" s="5" t="n">
        <x:f>H63/(1+Assumptions!$B$4)^E63</x:f>
        <x:v>501401.65460838395</x:v>
      </x:c>
    </x:row>
    <x:row r="64">
      <x:c r="A64" t="inlineStr">
        <x:is>
          <x:t xml:space="preserve">E061</x:t>
        </x:is>
      </x:c>
      <x:c r="B64" t="n">
        <x:v>28</x:v>
      </x:c>
      <x:c r="C64" t="n">
        <x:v>7</x:v>
      </x:c>
      <x:c r="D64" s="5" t="n">
        <x:v>108400</x:v>
      </x:c>
      <x:c r="E64" s="7" t="n">
        <x:f>MAX(Assumptions!$B$7-B64,0)</x:f>
        <x:v>37</x:v>
      </x:c>
      <x:c r="F64" s="5" t="n">
        <x:f>D64*(1+Assumptions!$B$5)^E64</x:f>
        <x:v>462660.94040553656</x:v>
      </x:c>
      <x:c r="G64" s="5" t="n">
        <x:f>Assumptions!$B$6*F64*C64</x:f>
        <x:v>48579.39874258134</x:v>
      </x:c>
      <x:c r="H64" s="5" t="n">
        <x:f>G64*IF(Assumptions!$B$8=0,Assumptions!$B$9,(1-(1+Assumptions!$B$8)^(-Assumptions!$B$9))/Assumptions!$B$8)</x:f>
        <x:v>540124.5764418005</x:v>
      </x:c>
      <x:c r="I64" s="5" t="n">
        <x:f>H64/(1+Assumptions!$B$4)^E64</x:f>
        <x:v>88815.7266114048</x:v>
      </x:c>
    </x:row>
    <x:row r="65">
      <x:c r="A65" t="inlineStr">
        <x:is>
          <x:t xml:space="preserve">E062</x:t>
        </x:is>
      </x:c>
      <x:c r="B65" t="n">
        <x:v>27</x:v>
      </x:c>
      <x:c r="C65" t="n">
        <x:v>3</x:v>
      </x:c>
      <x:c r="D65" s="5" t="n">
        <x:v>148281</x:v>
      </x:c>
      <x:c r="E65" s="7" t="n">
        <x:f>MAX(Assumptions!$B$7-B65,0)</x:f>
        <x:v>38</x:v>
      </x:c>
      <x:c r="F65" s="5" t="n">
        <x:f>D65*(1+Assumptions!$B$5)^E65</x:f>
        <x:v>658191.6972365711</x:v>
      </x:c>
      <x:c r="G65" s="5" t="n">
        <x:f>Assumptions!$B$6*F65*C65</x:f>
        <x:v>29618.626375645697</x:v>
      </x:c>
      <x:c r="H65" s="5" t="n">
        <x:f>G65*IF(Assumptions!$B$8=0,Assumptions!$B$9,(1-(1+Assumptions!$B$8)^(-Assumptions!$B$9))/Assumptions!$B$8)</x:f>
        <x:v>329311.36325306253</x:v>
      </x:c>
      <x:c r="I65" s="5" t="n">
        <x:f>H65/(1+Assumptions!$B$4)^E65</x:f>
        <x:v>51571.92615397373</x:v>
      </x:c>
    </x:row>
    <x:row r="66">
      <x:c r="A66" t="inlineStr">
        <x:is>
          <x:t xml:space="preserve">E063</x:t>
        </x:is>
      </x:c>
      <x:c r="B66" t="n">
        <x:v>25</x:v>
      </x:c>
      <x:c r="C66" t="n">
        <x:v>4</x:v>
      </x:c>
      <x:c r="D66" s="5" t="n">
        <x:v>146259</x:v>
      </x:c>
      <x:c r="E66" s="7" t="n">
        <x:f>MAX(Assumptions!$B$7-B66,0)</x:f>
        <x:v>40</x:v>
      </x:c>
      <x:c r="F66" s="5" t="n">
        <x:f>D66*(1+Assumptions!$B$5)^E66</x:f>
        <x:v>702192.4760213875</x:v>
      </x:c>
      <x:c r="G66" s="5" t="n">
        <x:f>Assumptions!$B$6*F66*C66</x:f>
        <x:v>42131.54856128325</x:v>
      </x:c>
      <x:c r="H66" s="5" t="n">
        <x:f>G66*IF(Assumptions!$B$8=0,Assumptions!$B$9,(1-(1+Assumptions!$B$8)^(-Assumptions!$B$9))/Assumptions!$B$8)</x:f>
        <x:v>468434.88002155285</x:v>
      </x:c>
      <x:c r="I66" s="5" t="n">
        <x:f>H66/(1+Assumptions!$B$4)^E66</x:f>
        <x:v>66539.15214591018</x:v>
      </x:c>
    </x:row>
    <x:row r="67">
      <x:c r="A67" t="inlineStr">
        <x:is>
          <x:t xml:space="preserve">E064</x:t>
        </x:is>
      </x:c>
      <x:c r="B67" t="n">
        <x:v>47</x:v>
      </x:c>
      <x:c r="C67" t="n">
        <x:v>3</x:v>
      </x:c>
      <x:c r="D67" s="5" t="n">
        <x:v>80809</x:v>
      </x:c>
      <x:c r="E67" s="7" t="n">
        <x:f>MAX(Assumptions!$B$7-B67,0)</x:f>
        <x:v>18</x:v>
      </x:c>
      <x:c r="F67" s="5" t="n">
        <x:f>D67*(1+Assumptions!$B$5)^E67</x:f>
        <x:v>163704.20679122384</x:v>
      </x:c>
      <x:c r="G67" s="5" t="n">
        <x:f>Assumptions!$B$6*F67*C67</x:f>
        <x:v>7366.689305605072</x:v>
      </x:c>
      <x:c r="H67" s="5" t="n">
        <x:f>G67*IF(Assumptions!$B$8=0,Assumptions!$B$9,(1-(1+Assumptions!$B$8)^(-Assumptions!$B$9))/Assumptions!$B$8)</x:f>
        <x:v>81905.70579212678</x:v>
      </x:c>
      <x:c r="I67" s="5" t="n">
        <x:f>H67/(1+Assumptions!$B$4)^E67</x:f>
        <x:v>34033.51250812792</x:v>
      </x:c>
    </x:row>
    <x:row r="68">
      <x:c r="A68" t="inlineStr">
        <x:is>
          <x:t xml:space="preserve">E065</x:t>
        </x:is>
      </x:c>
      <x:c r="B68" t="n">
        <x:v>52</x:v>
      </x:c>
      <x:c r="C68" t="n">
        <x:v>30</x:v>
      </x:c>
      <x:c r="D68" s="5" t="n">
        <x:v>137362</x:v>
      </x:c>
      <x:c r="E68" s="7" t="n">
        <x:f>MAX(Assumptions!$B$7-B68,0)</x:f>
        <x:v>13</x:v>
      </x:c>
      <x:c r="F68" s="5" t="n">
        <x:f>D68*(1+Assumptions!$B$5)^E68</x:f>
        <x:v>228717.82711116964</x:v>
      </x:c>
      <x:c r="G68" s="5" t="n">
        <x:f>Assumptions!$B$6*F68*C68</x:f>
        <x:v>102923.02220002633</x:v>
      </x:c>
      <x:c r="H68" s="5" t="n">
        <x:f>G68*IF(Assumptions!$B$8=0,Assumptions!$B$9,(1-(1+Assumptions!$B$8)^(-Assumptions!$B$9))/Assumptions!$B$8)</x:f>
        <x:v>1144338.0365095339</x:v>
      </x:c>
      <x:c r="I68" s="5" t="n">
        <x:f>H68/(1+Assumptions!$B$4)^E68</x:f>
        <x:v>606866.8931165204</x:v>
      </x:c>
    </x:row>
    <x:row r="69">
      <x:c r="A69" t="inlineStr">
        <x:is>
          <x:t xml:space="preserve">E066</x:t>
        </x:is>
      </x:c>
      <x:c r="B69" t="n">
        <x:v>48</x:v>
      </x:c>
      <x:c r="C69" t="n">
        <x:v>11</x:v>
      </x:c>
      <x:c r="D69" s="5" t="n">
        <x:v>55454</x:v>
      </x:c>
      <x:c r="E69" s="7" t="n">
        <x:f>MAX(Assumptions!$B$7-B69,0)</x:f>
        <x:v>17</x:v>
      </x:c>
      <x:c r="F69" s="5" t="n">
        <x:f>D69*(1+Assumptions!$B$5)^E69</x:f>
        <x:v>108018.87408057801</x:v>
      </x:c>
      <x:c r="G69" s="5" t="n">
        <x:f>Assumptions!$B$6*F69*C69</x:f>
        <x:v>17823.11422329537</x:v>
      </x:c>
      <x:c r="H69" s="5" t="n">
        <x:f>G69*IF(Assumptions!$B$8=0,Assumptions!$B$9,(1-(1+Assumptions!$B$8)^(-Assumptions!$B$9))/Assumptions!$B$8)</x:f>
        <x:v>198164.28918238427</x:v>
      </x:c>
      <x:c r="I69" s="5" t="n">
        <x:f>H69/(1+Assumptions!$B$4)^E69</x:f>
        <x:v>86458.42297303426</x:v>
      </x:c>
    </x:row>
    <x:row r="70">
      <x:c r="A70" t="inlineStr">
        <x:is>
          <x:t xml:space="preserve">E067</x:t>
        </x:is>
      </x:c>
      <x:c r="B70" t="n">
        <x:v>46</x:v>
      </x:c>
      <x:c r="C70" t="n">
        <x:v>12</x:v>
      </x:c>
      <x:c r="D70" s="5" t="n">
        <x:v>63153</x:v>
      </x:c>
      <x:c r="E70" s="7" t="n">
        <x:f>MAX(Assumptions!$B$7-B70,0)</x:f>
        <x:v>19</x:v>
      </x:c>
      <x:c r="F70" s="5" t="n">
        <x:f>D70*(1+Assumptions!$B$5)^E70</x:f>
        <x:v>133053.84601152848</x:v>
      </x:c>
      <x:c r="G70" s="5" t="n">
        <x:f>Assumptions!$B$6*F70*C70</x:f>
        <x:v>23949.692282075124</x:v>
      </x:c>
      <x:c r="H70" s="5" t="n">
        <x:f>G70*IF(Assumptions!$B$8=0,Assumptions!$B$9,(1-(1+Assumptions!$B$8)^(-Assumptions!$B$9))/Assumptions!$B$8)</x:f>
        <x:v>266281.95767331804</x:v>
      </x:c>
      <x:c r="I70" s="5" t="n">
        <x:f>H70/(1+Assumptions!$B$4)^E70</x:f>
        <x:v>105376.81279220237</x:v>
      </x:c>
    </x:row>
    <x:row r="71">
      <x:c r="A71" t="inlineStr">
        <x:is>
          <x:t xml:space="preserve">E068</x:t>
        </x:is>
      </x:c>
      <x:c r="B71" t="n">
        <x:v>27</x:v>
      </x:c>
      <x:c r="C71" t="n">
        <x:v>1</x:v>
      </x:c>
      <x:c r="D71" s="5" t="n">
        <x:v>96384</x:v>
      </x:c>
      <x:c r="E71" s="7" t="n">
        <x:f>MAX(Assumptions!$B$7-B71,0)</x:f>
        <x:v>38</x:v>
      </x:c>
      <x:c r="F71" s="5" t="n">
        <x:f>D71*(1+Assumptions!$B$5)^E71</x:f>
        <x:v>427830.59560192924</x:v>
      </x:c>
      <x:c r="G71" s="5" t="n">
        <x:f>Assumptions!$B$6*F71*C71</x:f>
        <x:v>6417.4589340289385</x:v>
      </x:c>
      <x:c r="H71" s="5" t="n">
        <x:f>G71*IF(Assumptions!$B$8=0,Assumptions!$B$9,(1-(1+Assumptions!$B$8)^(-Assumptions!$B$9))/Assumptions!$B$8)</x:f>
        <x:v>71351.79475856242</x:v>
      </x:c>
      <x:c r="I71" s="5" t="n">
        <x:f>H71/(1+Assumptions!$B$4)^E71</x:f>
        <x:v>11174.073842736885</x:v>
      </x:c>
    </x:row>
    <x:row r="72">
      <x:c r="A72" t="inlineStr">
        <x:is>
          <x:t xml:space="preserve">E069</x:t>
        </x:is>
      </x:c>
      <x:c r="B72" t="n">
        <x:v>45</x:v>
      </x:c>
      <x:c r="C72" t="n">
        <x:v>24</x:v>
      </x:c>
      <x:c r="D72" s="5" t="n">
        <x:v>147180</x:v>
      </x:c>
      <x:c r="E72" s="7" t="n">
        <x:f>MAX(Assumptions!$B$7-B72,0)</x:f>
        <x:v>20</x:v>
      </x:c>
      <x:c r="F72" s="5" t="n">
        <x:f>D72*(1+Assumptions!$B$5)^E72</x:f>
        <x:v>322489.50419165887</x:v>
      </x:c>
      <x:c r="G72" s="5" t="n">
        <x:f>Assumptions!$B$6*F72*C72</x:f>
        <x:v>116096.22150899719</x:v>
      </x:c>
      <x:c r="H72" s="5" t="n">
        <x:f>G72*IF(Assumptions!$B$8=0,Assumptions!$B$9,(1-(1+Assumptions!$B$8)^(-Assumptions!$B$9))/Assumptions!$B$8)</x:f>
        <x:v>1290802.7701478414</x:v>
      </x:c>
      <x:c r="I72" s="5" t="n">
        <x:f>H72/(1+Assumptions!$B$4)^E72</x:f>
        <x:v>486489.9885320564</x:v>
      </x:c>
    </x:row>
    <x:row r="73">
      <x:c r="A73" t="inlineStr">
        <x:is>
          <x:t xml:space="preserve">E070</x:t>
        </x:is>
      </x:c>
      <x:c r="B73" t="n">
        <x:v>36</x:v>
      </x:c>
      <x:c r="C73" t="n">
        <x:v>11</x:v>
      </x:c>
      <x:c r="D73" s="5" t="n">
        <x:v>124307</x:v>
      </x:c>
      <x:c r="E73" s="7" t="n">
        <x:f>MAX(Assumptions!$B$7-B73,0)</x:f>
        <x:v>29</x:v>
      </x:c>
      <x:c r="F73" s="5" t="n">
        <x:f>D73*(1+Assumptions!$B$5)^E73</x:f>
        <x:v>387670.20603749383</x:v>
      </x:c>
      <x:c r="G73" s="5" t="n">
        <x:f>Assumptions!$B$6*F73*C73</x:f>
        <x:v>63965.583996186484</x:v>
      </x:c>
      <x:c r="H73" s="5" t="n">
        <x:f>G73*IF(Assumptions!$B$8=0,Assumptions!$B$9,(1-(1+Assumptions!$B$8)^(-Assumptions!$B$9))/Assumptions!$B$8)</x:f>
        <x:v>711194.1451944945</x:v>
      </x:c>
      <x:c r="I73" s="5" t="n">
        <x:f>H73/(1+Assumptions!$B$4)^E73</x:f>
        <x:v>172782.00115479017</x:v>
      </x:c>
    </x:row>
    <x:row r="74">
      <x:c r="A74" t="inlineStr">
        <x:is>
          <x:t xml:space="preserve">E071</x:t>
        </x:is>
      </x:c>
      <x:c r="B74" t="n">
        <x:v>33</x:v>
      </x:c>
      <x:c r="C74" t="n">
        <x:v>0</x:v>
      </x:c>
      <x:c r="D74" s="5" t="n">
        <x:v>157906</x:v>
      </x:c>
      <x:c r="E74" s="7" t="n">
        <x:f>MAX(Assumptions!$B$7-B74,0)</x:f>
        <x:v>32</x:v>
      </x:c>
      <x:c r="F74" s="5" t="n">
        <x:f>D74*(1+Assumptions!$B$5)^E74</x:f>
        <x:v>553943.5244794311</x:v>
      </x:c>
      <x:c r="G74" s="5" t="n">
        <x:f>Assumptions!$B$6*F74*C74</x:f>
        <x:v>0</x:v>
      </x:c>
      <x:c r="H74" s="5" t="n">
        <x:f>G74*IF(Assumptions!$B$8=0,Assumptions!$B$9,(1-(1+Assumptions!$B$8)^(-Assumptions!$B$9))/Assumptions!$B$8)</x:f>
        <x:v>0</x:v>
      </x:c>
      <x:c r="I74" s="5" t="n">
        <x:f>H74/(1+Assumptions!$B$4)^E74</x:f>
        <x:v>0</x:v>
      </x:c>
    </x:row>
    <x:row r="75">
      <x:c r="A75" t="inlineStr">
        <x:is>
          <x:t xml:space="preserve">E072</x:t>
        </x:is>
      </x:c>
      <x:c r="B75" t="n">
        <x:v>47</x:v>
      </x:c>
      <x:c r="C75" t="n">
        <x:v>10</x:v>
      </x:c>
      <x:c r="D75" s="5" t="n">
        <x:v>136646</x:v>
      </x:c>
      <x:c r="E75" s="7" t="n">
        <x:f>MAX(Assumptions!$B$7-B75,0)</x:f>
        <x:v>18</x:v>
      </x:c>
      <x:c r="F75" s="5" t="n">
        <x:f>D75*(1+Assumptions!$B$5)^E75</x:f>
        <x:v>276819.723560415</x:v>
      </x:c>
      <x:c r="G75" s="5" t="n">
        <x:f>Assumptions!$B$6*F75*C75</x:f>
        <x:v>41522.95853406224</x:v>
      </x:c>
      <x:c r="H75" s="5" t="n">
        <x:f>G75*IF(Assumptions!$B$8=0,Assumptions!$B$9,(1-(1+Assumptions!$B$8)^(-Assumptions!$B$9))/Assumptions!$B$8)</x:f>
        <x:v>461668.34031155595</x:v>
      </x:c>
      <x:c r="I75" s="5" t="n">
        <x:f>H75/(1+Assumptions!$B$4)^E75</x:f>
        <x:v>191832.73109784172</x:v>
      </x:c>
    </x:row>
    <x:row r="76">
      <x:c r="A76" t="inlineStr">
        <x:is>
          <x:t xml:space="preserve">E073</x:t>
        </x:is>
      </x:c>
      <x:c r="B76" t="n">
        <x:v>55</x:v>
      </x:c>
      <x:c r="C76" t="n">
        <x:v>0</x:v>
      </x:c>
      <x:c r="D76" s="5" t="n">
        <x:v>113063</x:v>
      </x:c>
      <x:c r="E76" s="7" t="n">
        <x:f>MAX(Assumptions!$B$7-B76,0)</x:f>
        <x:v>10</x:v>
      </x:c>
      <x:c r="F76" s="5" t="n">
        <x:f>D76*(1+Assumptions!$B$5)^E76</x:f>
        <x:v>167360.85958572276</x:v>
      </x:c>
      <x:c r="G76" s="5" t="n">
        <x:f>Assumptions!$B$6*F76*C76</x:f>
        <x:v>0</x:v>
      </x:c>
      <x:c r="H76" s="5" t="n">
        <x:f>G76*IF(Assumptions!$B$8=0,Assumptions!$B$9,(1-(1+Assumptions!$B$8)^(-Assumptions!$B$9))/Assumptions!$B$8)</x:f>
        <x:v>0</x:v>
      </x:c>
      <x:c r="I76" s="5" t="n">
        <x:f>H76/(1+Assumptions!$B$4)^E76</x:f>
        <x:v>0</x:v>
      </x:c>
    </x:row>
    <x:row r="77">
      <x:c r="A77" t="inlineStr">
        <x:is>
          <x:t xml:space="preserve">E074</x:t>
        </x:is>
      </x:c>
      <x:c r="B77" t="n">
        <x:v>33</x:v>
      </x:c>
      <x:c r="C77" t="n">
        <x:v>5</x:v>
      </x:c>
      <x:c r="D77" s="5" t="n">
        <x:v>136350</x:v>
      </x:c>
      <x:c r="E77" s="7" t="n">
        <x:f>MAX(Assumptions!$B$7-B77,0)</x:f>
        <x:v>32</x:v>
      </x:c>
      <x:c r="F77" s="5" t="n">
        <x:f>D77*(1+Assumptions!$B$5)^E77</x:f>
        <x:v>478323.8101324233</x:v>
      </x:c>
      <x:c r="G77" s="5" t="n">
        <x:f>Assumptions!$B$6*F77*C77</x:f>
        <x:v>35874.28575993174</x:v>
      </x:c>
      <x:c r="H77" s="5" t="n">
        <x:f>G77*IF(Assumptions!$B$8=0,Assumptions!$B$9,(1-(1+Assumptions!$B$8)^(-Assumptions!$B$9))/Assumptions!$B$8)</x:f>
        <x:v>398864.2079312331</x:v>
      </x:c>
      <x:c r="I77" s="5" t="n">
        <x:f>H77/(1+Assumptions!$B$4)^E77</x:f>
        <x:v>83708.10230500526</x:v>
      </x:c>
    </x:row>
    <x:row r="78">
      <x:c r="A78" t="inlineStr">
        <x:is>
          <x:t xml:space="preserve">E075</x:t>
        </x:is>
      </x:c>
      <x:c r="B78" t="n">
        <x:v>46</x:v>
      </x:c>
      <x:c r="C78" t="n">
        <x:v>12</x:v>
      </x:c>
      <x:c r="D78" s="5" t="n">
        <x:v>106155</x:v>
      </x:c>
      <x:c r="E78" s="7" t="n">
        <x:f>MAX(Assumptions!$B$7-B78,0)</x:f>
        <x:v>19</x:v>
      </x:c>
      <x:c r="F78" s="5" t="n">
        <x:f>D78*(1+Assumptions!$B$5)^E78</x:f>
        <x:v>223652.57427760845</x:v>
      </x:c>
      <x:c r="G78" s="5" t="n">
        <x:f>Assumptions!$B$6*F78*C78</x:f>
        <x:v>40257.46336996952</x:v>
      </x:c>
      <x:c r="H78" s="5" t="n">
        <x:f>G78*IF(Assumptions!$B$8=0,Assumptions!$B$9,(1-(1+Assumptions!$B$8)^(-Assumptions!$B$9))/Assumptions!$B$8)</x:f>
        <x:v>447598.0747836378</x:v>
      </x:c>
      <x:c r="I78" s="5" t="n">
        <x:f>H78/(1+Assumptions!$B$4)^E78</x:f>
        <x:v>177129.7572871636</x:v>
      </x:c>
    </x:row>
    <x:row r="79">
      <x:c r="A79" t="inlineStr">
        <x:is>
          <x:t xml:space="preserve">E076</x:t>
        </x:is>
      </x:c>
      <x:c r="B79" t="n">
        <x:v>43</x:v>
      </x:c>
      <x:c r="C79" t="n">
        <x:v>11</x:v>
      </x:c>
      <x:c r="D79" s="5" t="n">
        <x:v>102470</x:v>
      </x:c>
      <x:c r="E79" s="7" t="n">
        <x:f>MAX(Assumptions!$B$7-B79,0)</x:f>
        <x:v>22</x:v>
      </x:c>
      <x:c r="F79" s="5" t="n">
        <x:f>D79*(1+Assumptions!$B$5)^E79</x:f>
        <x:v>242845.57856551203</x:v>
      </x:c>
      <x:c r="G79" s="5" t="n">
        <x:f>Assumptions!$B$6*F79*C79</x:f>
        <x:v>40069.52046330948</x:v>
      </x:c>
      <x:c r="H79" s="5" t="n">
        <x:f>G79*IF(Assumptions!$B$8=0,Assumptions!$B$9,(1-(1+Assumptions!$B$8)^(-Assumptions!$B$9))/Assumptions!$B$8)</x:f>
        <x:v>445508.4527322638</x:v>
      </x:c>
      <x:c r="I79" s="5" t="n">
        <x:f>H79/(1+Assumptions!$B$4)^E79</x:f>
        <x:v>152297.00713452464</x:v>
      </x:c>
    </x:row>
    <x:row r="80">
      <x:c r="A80" t="inlineStr">
        <x:is>
          <x:t xml:space="preserve">E077</x:t>
        </x:is>
      </x:c>
      <x:c r="B80" t="n">
        <x:v>40</x:v>
      </x:c>
      <x:c r="C80" t="n">
        <x:v>5</x:v>
      </x:c>
      <x:c r="D80" s="5" t="n">
        <x:v>119407</x:v>
      </x:c>
      <x:c r="E80" s="7" t="n">
        <x:f>MAX(Assumptions!$B$7-B80,0)</x:f>
        <x:v>25</x:v>
      </x:c>
      <x:c r="F80" s="5" t="n">
        <x:f>D80*(1+Assumptions!$B$5)^E80</x:f>
        <x:v>318319.5188339186</x:v>
      </x:c>
      <x:c r="G80" s="5" t="n">
        <x:f>Assumptions!$B$6*F80*C80</x:f>
        <x:v>23873.963912543895</x:v>
      </x:c>
      <x:c r="H80" s="5" t="n">
        <x:f>G80*IF(Assumptions!$B$8=0,Assumptions!$B$9,(1-(1+Assumptions!$B$8)^(-Assumptions!$B$9))/Assumptions!$B$8)</x:f>
        <x:v>265439.9803212634</x:v>
      </x:c>
      <x:c r="I80" s="5" t="n">
        <x:f>H80/(1+Assumptions!$B$4)^E80</x:f>
        <x:v>78385.16190826846</x:v>
      </x:c>
    </x:row>
    <x:row r="81">
      <x:c r="A81" t="inlineStr">
        <x:is>
          <x:t xml:space="preserve">E078</x:t>
        </x:is>
      </x:c>
      <x:c r="B81" t="n">
        <x:v>57</x:v>
      </x:c>
      <x:c r="C81" t="n">
        <x:v>3</x:v>
      </x:c>
      <x:c r="D81" s="5" t="n">
        <x:v>152064</x:v>
      </x:c>
      <x:c r="E81" s="7" t="n">
        <x:f>MAX(Assumptions!$B$7-B81,0)</x:f>
        <x:v>8</x:v>
      </x:c>
      <x:c r="F81" s="5" t="n">
        <x:f>D81*(1+Assumptions!$B$5)^E81</x:f>
        <x:v>208110.08408082757</x:v>
      </x:c>
      <x:c r="G81" s="5" t="n">
        <x:f>Assumptions!$B$6*F81*C81</x:f>
        <x:v>9364.95378363724</x:v>
      </x:c>
      <x:c r="H81" s="5" t="n">
        <x:f>G81*IF(Assumptions!$B$8=0,Assumptions!$B$9,(1-(1+Assumptions!$B$8)^(-Assumptions!$B$9))/Assumptions!$B$8)</x:f>
        <x:v>104123.18445082764</x:v>
      </x:c>
      <x:c r="I81" s="5" t="n">
        <x:f>H81/(1+Assumptions!$B$4)^E81</x:f>
        <x:v>70474.66973609348</x:v>
      </x:c>
    </x:row>
    <x:row r="82">
      <x:c r="A82" t="inlineStr">
        <x:is>
          <x:t xml:space="preserve">E079</x:t>
        </x:is>
      </x:c>
      <x:c r="B82" t="n">
        <x:v>31</x:v>
      </x:c>
      <x:c r="C82" t="n">
        <x:v>9</x:v>
      </x:c>
      <x:c r="D82" s="5" t="n">
        <x:v>135762</x:v>
      </x:c>
      <x:c r="E82" s="7" t="n">
        <x:f>MAX(Assumptions!$B$7-B82,0)</x:f>
        <x:v>34</x:v>
      </x:c>
      <x:c r="F82" s="5" t="n">
        <x:f>D82*(1+Assumptions!$B$5)^E82</x:f>
        <x:v>515123.97503096313</x:v>
      </x:c>
      <x:c r="G82" s="5" t="n">
        <x:f>Assumptions!$B$6*F82*C82</x:f>
        <x:v>69541.73662918003</x:v>
      </x:c>
      <x:c r="H82" s="5" t="n">
        <x:f>G82*IF(Assumptions!$B$8=0,Assumptions!$B$9,(1-(1+Assumptions!$B$8)^(-Assumptions!$B$9))/Assumptions!$B$8)</x:f>
        <x:v>773191.9705490211</x:v>
      </x:c>
      <x:c r="I82" s="5" t="n">
        <x:f>H82/(1+Assumptions!$B$4)^E82</x:f>
        <x:v>147180.80262181102</x:v>
      </x:c>
    </x:row>
    <x:row r="83">
      <x:c r="A83" t="inlineStr">
        <x:is>
          <x:t xml:space="preserve">E080</x:t>
        </x:is>
      </x:c>
      <x:c r="B83" t="n">
        <x:v>34</x:v>
      </x:c>
      <x:c r="C83" t="n">
        <x:v>1</x:v>
      </x:c>
      <x:c r="D83" s="5" t="n">
        <x:v>51499</x:v>
      </x:c>
      <x:c r="E83" s="7" t="n">
        <x:f>MAX(Assumptions!$B$7-B83,0)</x:f>
        <x:v>31</x:v>
      </x:c>
      <x:c r="F83" s="5" t="n">
        <x:f>D83*(1+Assumptions!$B$5)^E83</x:f>
        <x:v>173712.9975036647</x:v>
      </x:c>
      <x:c r="G83" s="5" t="n">
        <x:f>Assumptions!$B$6*F83*C83</x:f>
        <x:v>2605.6949625549705</x:v>
      </x:c>
      <x:c r="H83" s="5" t="n">
        <x:f>G83*IF(Assumptions!$B$8=0,Assumptions!$B$9,(1-(1+Assumptions!$B$8)^(-Assumptions!$B$9))/Assumptions!$B$8)</x:f>
        <x:v>28971.126123734983</x:v>
      </x:c>
      <x:c r="I83" s="5" t="n">
        <x:f>H83/(1+Assumptions!$B$4)^E83</x:f>
        <x:v>6384.062140187499</x:v>
      </x:c>
    </x:row>
    <x:row r="84">
      <x:c r="A84" t="inlineStr">
        <x:is>
          <x:t xml:space="preserve">E081</x:t>
        </x:is>
      </x:c>
      <x:c r="B84" t="n">
        <x:v>43</x:v>
      </x:c>
      <x:c r="C84" t="n">
        <x:v>20</x:v>
      </x:c>
      <x:c r="D84" s="5" t="n">
        <x:v>127019</x:v>
      </x:c>
      <x:c r="E84" s="7" t="n">
        <x:f>MAX(Assumptions!$B$7-B84,0)</x:f>
        <x:v>22</x:v>
      </x:c>
      <x:c r="F84" s="5" t="n">
        <x:f>D84*(1+Assumptions!$B$5)^E84</x:f>
        <x:v>301024.714978167</x:v>
      </x:c>
      <x:c r="G84" s="5" t="n">
        <x:f>Assumptions!$B$6*F84*C84</x:f>
        <x:v>90307.41449345008</x:v>
      </x:c>
      <x:c r="H84" s="5" t="n">
        <x:f>G84*IF(Assumptions!$B$8=0,Assumptions!$B$9,(1-(1+Assumptions!$B$8)^(-Assumptions!$B$9))/Assumptions!$B$8)</x:f>
        <x:v>1004072.8223355731</x:v>
      </x:c>
      <x:c r="I84" s="5" t="n">
        <x:f>H84/(1+Assumptions!$B$4)^E84</x:f>
        <x:v>343242.164876996</x:v>
      </x:c>
    </x:row>
    <x:row r="85">
      <x:c r="A85" t="inlineStr">
        <x:is>
          <x:t xml:space="preserve">E082</x:t>
        </x:is>
      </x:c>
      <x:c r="B85" t="n">
        <x:v>32</x:v>
      </x:c>
      <x:c r="C85" t="n">
        <x:v>11</x:v>
      </x:c>
      <x:c r="D85" s="5" t="n">
        <x:v>148401</x:v>
      </x:c>
      <x:c r="E85" s="7" t="n">
        <x:f>MAX(Assumptions!$B$7-B85,0)</x:f>
        <x:v>33</x:v>
      </x:c>
      <x:c r="F85" s="5" t="n">
        <x:f>D85*(1+Assumptions!$B$5)^E85</x:f>
        <x:v>541423.4031342885</x:v>
      </x:c>
      <x:c r="G85" s="5" t="n">
        <x:f>Assumptions!$B$6*F85*C85</x:f>
        <x:v>89334.8615171576</x:v>
      </x:c>
      <x:c r="H85" s="5" t="n">
        <x:f>G85*IF(Assumptions!$B$8=0,Assumptions!$B$9,(1-(1+Assumptions!$B$8)^(-Assumptions!$B$9))/Assumptions!$B$8)</x:f>
        <x:v>993259.601546845</x:v>
      </x:c>
      <x:c r="I85" s="5" t="n">
        <x:f>H85/(1+Assumptions!$B$4)^E85</x:f>
        <x:v>198525.31904445996</x:v>
      </x:c>
    </x:row>
    <x:row r="86">
      <x:c r="A86" t="inlineStr">
        <x:is>
          <x:t xml:space="preserve">E083</x:t>
        </x:is>
      </x:c>
      <x:c r="B86" t="n">
        <x:v>54</x:v>
      </x:c>
      <x:c r="C86" t="n">
        <x:v>28</x:v>
      </x:c>
      <x:c r="D86" s="5" t="n">
        <x:v>79787</x:v>
      </x:c>
      <x:c r="E86" s="7" t="n">
        <x:f>MAX(Assumptions!$B$7-B86,0)</x:f>
        <x:v>11</x:v>
      </x:c>
      <x:c r="F86" s="5" t="n">
        <x:f>D86*(1+Assumptions!$B$5)^E86</x:f>
        <x:v>122828.42079121115</x:v>
      </x:c>
      <x:c r="G86" s="5" t="n">
        <x:f>Assumptions!$B$6*F86*C86</x:f>
        <x:v>51587.936732308684</x:v>
      </x:c>
      <x:c r="H86" s="5" t="n">
        <x:f>G86*IF(Assumptions!$B$8=0,Assumptions!$B$9,(1-(1+Assumptions!$B$8)^(-Assumptions!$B$9))/Assumptions!$B$8)</x:f>
        <x:v>573574.6674159854</x:v>
      </x:c>
      <x:c r="I86" s="5" t="n">
        <x:f>H86/(1+Assumptions!$B$4)^E86</x:f>
        <x:v>335357.228782768</x:v>
      </x:c>
    </x:row>
    <x:row r="87">
      <x:c r="A87" t="inlineStr">
        <x:is>
          <x:t xml:space="preserve">E084</x:t>
        </x:is>
      </x:c>
      <x:c r="B87" t="n">
        <x:v>44</x:v>
      </x:c>
      <x:c r="C87" t="n">
        <x:v>13</x:v>
      </x:c>
      <x:c r="D87" s="5" t="n">
        <x:v>91435</x:v>
      </x:c>
      <x:c r="E87" s="7" t="n">
        <x:f>MAX(Assumptions!$B$7-B87,0)</x:f>
        <x:v>21</x:v>
      </x:c>
      <x:c r="F87" s="5" t="n">
        <x:f>D87*(1+Assumptions!$B$5)^E87</x:f>
        <x:v>208359.1583665913</x:v>
      </x:c>
      <x:c r="G87" s="5" t="n">
        <x:f>Assumptions!$B$6*F87*C87</x:f>
        <x:v>40630.0358814853</x:v>
      </x:c>
      <x:c r="H87" s="5" t="n">
        <x:f>G87*IF(Assumptions!$B$8=0,Assumptions!$B$9,(1-(1+Assumptions!$B$8)^(-Assumptions!$B$9))/Assumptions!$B$8)</x:f>
        <x:v>451740.48031324625</x:v>
      </x:c>
      <x:c r="I87" s="5" t="n">
        <x:f>H87/(1+Assumptions!$B$4)^E87</x:f>
        <x:v>162148.79620767638</x:v>
      </x:c>
    </x:row>
    <x:row r="88">
      <x:c r="A88" t="inlineStr">
        <x:is>
          <x:t xml:space="preserve">E085</x:t>
        </x:is>
      </x:c>
      <x:c r="B88" t="n">
        <x:v>37</x:v>
      </x:c>
      <x:c r="C88" t="n">
        <x:v>1</x:v>
      </x:c>
      <x:c r="D88" s="5" t="n">
        <x:v>62216</x:v>
      </x:c>
      <x:c r="E88" s="7" t="n">
        <x:f>MAX(Assumptions!$B$7-B88,0)</x:f>
        <x:v>28</x:v>
      </x:c>
      <x:c r="F88" s="5" t="n">
        <x:f>D88*(1+Assumptions!$B$5)^E88</x:f>
        <x:v>186567.32570624398</x:v>
      </x:c>
      <x:c r="G88" s="5" t="n">
        <x:f>Assumptions!$B$6*F88*C88</x:f>
        <x:v>2798.5098855936594</x:v>
      </x:c>
      <x:c r="H88" s="5" t="n">
        <x:f>G88*IF(Assumptions!$B$8=0,Assumptions!$B$9,(1-(1+Assumptions!$B$8)^(-Assumptions!$B$9))/Assumptions!$B$8)</x:f>
        <x:v>31114.917140782807</x:v>
      </x:c>
      <x:c r="I88" s="5" t="n">
        <x:f>H88/(1+Assumptions!$B$4)^E88</x:f>
        <x:v>7937.217382847954</x:v>
      </x:c>
    </x:row>
    <x:row r="89">
      <x:c r="A89" t="inlineStr">
        <x:is>
          <x:t xml:space="preserve">E086</x:t>
        </x:is>
      </x:c>
      <x:c r="B89" t="n">
        <x:v>37</x:v>
      </x:c>
      <x:c r="C89" t="n">
        <x:v>5</x:v>
      </x:c>
      <x:c r="D89" s="5" t="n">
        <x:v>115249</x:v>
      </x:c>
      <x:c r="E89" s="7" t="n">
        <x:f>MAX(Assumptions!$B$7-B89,0)</x:f>
        <x:v>28</x:v>
      </x:c>
      <x:c r="F89" s="5" t="n">
        <x:f>D89*(1+Assumptions!$B$5)^E89</x:f>
        <x:v>345597.5588324372</x:v>
      </x:c>
      <x:c r="G89" s="5" t="n">
        <x:f>Assumptions!$B$6*F89*C89</x:f>
        <x:v>25919.81691243279</x:v>
      </x:c>
      <x:c r="H89" s="5" t="n">
        <x:f>G89*IF(Assumptions!$B$8=0,Assumptions!$B$9,(1-(1+Assumptions!$B$8)^(-Assumptions!$B$9))/Assumptions!$B$8)</x:f>
        <x:v>288186.5666032916</x:v>
      </x:c>
      <x:c r="I89" s="5" t="n">
        <x:f>H89/(1+Assumptions!$B$4)^E89</x:f>
        <x:v>73514.55945061108</x:v>
      </x:c>
    </x:row>
    <x:row r="90">
      <x:c r="A90" t="inlineStr">
        <x:is>
          <x:t xml:space="preserve">E087</x:t>
        </x:is>
      </x:c>
      <x:c r="B90" t="n">
        <x:v>39</x:v>
      </x:c>
      <x:c r="C90" t="n">
        <x:v>18</x:v>
      </x:c>
      <x:c r="D90" s="5" t="n">
        <x:v>97649</x:v>
      </x:c>
      <x:c r="E90" s="7" t="n">
        <x:f>MAX(Assumptions!$B$7-B90,0)</x:f>
        <x:v>26</x:v>
      </x:c>
      <x:c r="F90" s="5" t="n">
        <x:f>D90*(1+Assumptions!$B$5)^E90</x:f>
        <x:v>270728.9020107519</x:v>
      </x:c>
      <x:c r="G90" s="5" t="n">
        <x:f>Assumptions!$B$6*F90*C90</x:f>
        <x:v>73096.80354290301</x:v>
      </x:c>
      <x:c r="H90" s="5" t="n">
        <x:f>G90*IF(Assumptions!$B$8=0,Assumptions!$B$9,(1-(1+Assumptions!$B$8)^(-Assumptions!$B$9))/Assumptions!$B$8)</x:f>
        <x:v>812718.5818430755</x:v>
      </x:c>
      <x:c r="I90" s="5" t="n">
        <x:f>H90/(1+Assumptions!$B$4)^E90</x:f>
        <x:v>228569.57126527096</x:v>
      </x:c>
    </x:row>
    <x:row r="91">
      <x:c r="A91" t="inlineStr">
        <x:is>
          <x:t xml:space="preserve">E088</x:t>
        </x:is>
      </x:c>
      <x:c r="B91" t="n">
        <x:v>42</x:v>
      </x:c>
      <x:c r="C91" t="n">
        <x:v>20</x:v>
      </x:c>
      <x:c r="D91" s="5" t="n">
        <x:v>120802</x:v>
      </x:c>
      <x:c r="E91" s="7" t="n">
        <x:f>MAX(Assumptions!$B$7-B91,0)</x:f>
        <x:v>23</x:v>
      </x:c>
      <x:c r="F91" s="5" t="n">
        <x:f>D91*(1+Assumptions!$B$5)^E91</x:f>
        <x:v>297742.567045436</x:v>
      </x:c>
      <x:c r="G91" s="5" t="n">
        <x:f>Assumptions!$B$6*F91*C91</x:f>
        <x:v>89322.7701136308</x:v>
      </x:c>
      <x:c r="H91" s="5" t="n">
        <x:f>G91*IF(Assumptions!$B$8=0,Assumptions!$B$9,(1-(1+Assumptions!$B$8)^(-Assumptions!$B$9))/Assumptions!$B$8)</x:f>
        <x:v>993125.1646378355</x:v>
      </x:c>
      <x:c r="I91" s="5" t="n">
        <x:f>H91/(1+Assumptions!$B$4)^E91</x:f>
        <x:v>323333.0566707847</x:v>
      </x:c>
    </x:row>
    <x:row r="92">
      <x:c r="A92" t="inlineStr">
        <x:is>
          <x:t xml:space="preserve">E089</x:t>
        </x:is>
      </x:c>
      <x:c r="B92" t="n">
        <x:v>34</x:v>
      </x:c>
      <x:c r="C92" t="n">
        <x:v>8</x:v>
      </x:c>
      <x:c r="D92" s="5" t="n">
        <x:v>90445</x:v>
      </x:c>
      <x:c r="E92" s="7" t="n">
        <x:f>MAX(Assumptions!$B$7-B92,0)</x:f>
        <x:v>31</x:v>
      </x:c>
      <x:c r="F92" s="5" t="n">
        <x:f>D92*(1+Assumptions!$B$5)^E92</x:f>
        <x:v>305083.05130621867</x:v>
      </x:c>
      <x:c r="G92" s="5" t="n">
        <x:f>Assumptions!$B$6*F92*C92</x:f>
        <x:v>36609.96615674624</x:v>
      </x:c>
      <x:c r="H92" s="5" t="n">
        <x:f>G92*IF(Assumptions!$B$8=0,Assumptions!$B$9,(1-(1+Assumptions!$B$8)^(-Assumptions!$B$9))/Assumptions!$B$8)</x:f>
        <x:v>407043.78760926786</x:v>
      </x:c>
      <x:c r="I92" s="5" t="n">
        <x:f>H92/(1+Assumptions!$B$4)^E92</x:f>
        <x:v>89695.95530309457</x:v>
      </x:c>
    </x:row>
    <x:row r="93">
      <x:c r="A93" t="inlineStr">
        <x:is>
          <x:t xml:space="preserve">E090</x:t>
        </x:is>
      </x:c>
      <x:c r="B93" t="n">
        <x:v>43</x:v>
      </x:c>
      <x:c r="C93" t="n">
        <x:v>19</x:v>
      </x:c>
      <x:c r="D93" s="5" t="n">
        <x:v>63960</x:v>
      </x:c>
      <x:c r="E93" s="7" t="n">
        <x:f>MAX(Assumptions!$B$7-B93,0)</x:f>
        <x:v>22</x:v>
      </x:c>
      <x:c r="F93" s="5" t="n">
        <x:f>D93*(1+Assumptions!$B$5)^E93</x:f>
        <x:v>151580.0059046565</x:v>
      </x:c>
      <x:c r="G93" s="5" t="n">
        <x:f>Assumptions!$B$6*F93*C93</x:f>
        <x:v>43200.30168282709</x:v>
      </x:c>
      <x:c r="H93" s="5" t="n">
        <x:f>G93*IF(Assumptions!$B$8=0,Assumptions!$B$9,(1-(1+Assumptions!$B$8)^(-Assumptions!$B$9))/Assumptions!$B$8)</x:f>
        <x:v>480317.69129621633</x:v>
      </x:c>
      <x:c r="I93" s="5" t="n">
        <x:f>H93/(1+Assumptions!$B$4)^E93</x:f>
        <x:v>164196.54085023527</x:v>
      </x:c>
    </x:row>
    <x:row r="94">
      <x:c r="A94" t="inlineStr">
        <x:is>
          <x:t xml:space="preserve">E091</x:t>
        </x:is>
      </x:c>
      <x:c r="B94" t="n">
        <x:v>45</x:v>
      </x:c>
      <x:c r="C94" t="n">
        <x:v>1</x:v>
      </x:c>
      <x:c r="D94" s="5" t="n">
        <x:v>79940</x:v>
      </x:c>
      <x:c r="E94" s="7" t="n">
        <x:f>MAX(Assumptions!$B$7-B94,0)</x:f>
        <x:v>20</x:v>
      </x:c>
      <x:c r="F94" s="5" t="n">
        <x:f>D94*(1+Assumptions!$B$5)^E94</x:f>
        <x:v>175158.38405409167</x:v>
      </x:c>
      <x:c r="G94" s="5" t="n">
        <x:f>Assumptions!$B$6*F94*C94</x:f>
        <x:v>2627.375760811375</x:v>
      </x:c>
      <x:c r="H94" s="5" t="n">
        <x:f>G94*IF(Assumptions!$B$8=0,Assumptions!$B$9,(1-(1+Assumptions!$B$8)^(-Assumptions!$B$9))/Assumptions!$B$8)</x:f>
        <x:v>29212.181638588365</x:v>
      </x:c>
      <x:c r="I94" s="5" t="n">
        <x:f>H94/(1+Assumptions!$B$4)^E94</x:f>
        <x:v>11009.764031359726</x:v>
      </x:c>
    </x:row>
    <x:row r="95">
      <x:c r="A95" t="inlineStr">
        <x:is>
          <x:t xml:space="preserve">E092</x:t>
        </x:is>
      </x:c>
      <x:c r="B95" t="n">
        <x:v>49</x:v>
      </x:c>
      <x:c r="C95" t="n">
        <x:v>28</x:v>
      </x:c>
      <x:c r="D95" s="5" t="n">
        <x:v>54613</x:v>
      </x:c>
      <x:c r="E95" s="7" t="n">
        <x:f>MAX(Assumptions!$B$7-B95,0)</x:f>
        <x:v>16</x:v>
      </x:c>
      <x:c r="F95" s="5" t="n">
        <x:f>D95*(1+Assumptions!$B$5)^E95</x:f>
        <x:v>102289.1247728992</x:v>
      </x:c>
      <x:c r="G95" s="5" t="n">
        <x:f>Assumptions!$B$6*F95*C95</x:f>
        <x:v>42961.43240461766</x:v>
      </x:c>
      <x:c r="H95" s="5" t="n">
        <x:f>G95*IF(Assumptions!$B$8=0,Assumptions!$B$9,(1-(1+Assumptions!$B$8)^(-Assumptions!$B$9))/Assumptions!$B$8)</x:f>
        <x:v>477661.85011544154</x:v>
      </x:c>
      <x:c r="I95" s="5" t="n">
        <x:f>H95/(1+Assumptions!$B$4)^E95</x:f>
        <x:v>218822.39715361292</x:v>
      </x:c>
    </x:row>
    <x:row r="96">
      <x:c r="A96" t="inlineStr">
        <x:is>
          <x:t xml:space="preserve">E093</x:t>
        </x:is>
      </x:c>
      <x:c r="B96" t="n">
        <x:v>54</x:v>
      </x:c>
      <x:c r="C96" t="n">
        <x:v>16</x:v>
      </x:c>
      <x:c r="D96" s="5" t="n">
        <x:v>68207</x:v>
      </x:c>
      <x:c r="E96" s="7" t="n">
        <x:f>MAX(Assumptions!$B$7-B96,0)</x:f>
        <x:v>11</x:v>
      </x:c>
      <x:c r="F96" s="5" t="n">
        <x:f>D96*(1+Assumptions!$B$5)^E96</x:f>
        <x:v>105001.54281908255</x:v>
      </x:c>
      <x:c r="G96" s="5" t="n">
        <x:f>Assumptions!$B$6*F96*C96</x:f>
        <x:v>25200.37027657981</x:v>
      </x:c>
      <x:c r="H96" s="5" t="n">
        <x:f>G96*IF(Assumptions!$B$8=0,Assumptions!$B$9,(1-(1+Assumptions!$B$8)^(-Assumptions!$B$9))/Assumptions!$B$8)</x:f>
        <x:v>280187.4801691082</x:v>
      </x:c>
      <x:c r="I96" s="5" t="n">
        <x:f>H96/(1+Assumptions!$B$4)^E96</x:f>
        <x:v>163819.81671619441</x:v>
      </x:c>
    </x:row>
    <x:row r="97">
      <x:c r="A97" t="inlineStr">
        <x:is>
          <x:t xml:space="preserve">E094</x:t>
        </x:is>
      </x:c>
      <x:c r="B97" t="n">
        <x:v>44</x:v>
      </x:c>
      <x:c r="C97" t="n">
        <x:v>10</x:v>
      </x:c>
      <x:c r="D97" s="5" t="n">
        <x:v>157007</x:v>
      </x:c>
      <x:c r="E97" s="7" t="n">
        <x:f>MAX(Assumptions!$B$7-B97,0)</x:f>
        <x:v>21</x:v>
      </x:c>
      <x:c r="F97" s="5" t="n">
        <x:f>D97*(1+Assumptions!$B$5)^E97</x:f>
        <x:v>357782.53817097825</x:v>
      </x:c>
      <x:c r="G97" s="5" t="n">
        <x:f>Assumptions!$B$6*F97*C97</x:f>
        <x:v>53667.38072564673</x:v>
      </x:c>
      <x:c r="H97" s="5" t="n">
        <x:f>G97*IF(Assumptions!$B$8=0,Assumptions!$B$9,(1-(1+Assumptions!$B$8)^(-Assumptions!$B$9))/Assumptions!$B$8)</x:f>
        <x:v>596694.7313774127</x:v>
      </x:c>
      <x:c r="I97" s="5" t="n">
        <x:f>H97/(1+Assumptions!$B$4)^E97</x:f>
        <x:v>214179.0178494066</x:v>
      </x:c>
    </x:row>
    <x:row r="98">
      <x:c r="A98" t="inlineStr">
        <x:is>
          <x:t xml:space="preserve">E095</x:t>
        </x:is>
      </x:c>
      <x:c r="B98" t="n">
        <x:v>32</x:v>
      </x:c>
      <x:c r="C98" t="n">
        <x:v>7</x:v>
      </x:c>
      <x:c r="D98" s="5" t="n">
        <x:v>99998</x:v>
      </x:c>
      <x:c r="E98" s="7" t="n">
        <x:f>MAX(Assumptions!$B$7-B98,0)</x:f>
        <x:v>33</x:v>
      </x:c>
      <x:c r="F98" s="5" t="n">
        <x:f>D98*(1+Assumptions!$B$5)^E98</x:f>
        <x:v>364830.81290976866</x:v>
      </x:c>
      <x:c r="G98" s="5" t="n">
        <x:f>Assumptions!$B$6*F98*C98</x:f>
        <x:v>38307.235355525714</x:v>
      </x:c>
      <x:c r="H98" s="5" t="n">
        <x:f>G98*IF(Assumptions!$B$8=0,Assumptions!$B$9,(1-(1+Assumptions!$B$8)^(-Assumptions!$B$9))/Assumptions!$B$8)</x:f>
        <x:v>425914.68413798366</x:v>
      </x:c>
      <x:c r="I98" s="5" t="n">
        <x:f>H98/(1+Assumptions!$B$4)^E98</x:f>
        <x:v>85128.64957210861</x:v>
      </x:c>
    </x:row>
    <x:row r="99">
      <x:c r="A99" t="inlineStr">
        <x:is>
          <x:t xml:space="preserve">E096</x:t>
        </x:is>
      </x:c>
      <x:c r="B99" t="n">
        <x:v>50</x:v>
      </x:c>
      <x:c r="C99" t="n">
        <x:v>14</x:v>
      </x:c>
      <x:c r="D99" s="5" t="n">
        <x:v>56878</x:v>
      </x:c>
      <x:c r="E99" s="7" t="n">
        <x:f>MAX(Assumptions!$B$7-B99,0)</x:f>
        <x:v>15</x:v>
      </x:c>
      <x:c r="F99" s="5" t="n">
        <x:f>D99*(1+Assumptions!$B$5)^E99</x:f>
        <x:v>102434.0647062224</x:v>
      </x:c>
      <x:c r="G99" s="5" t="n">
        <x:f>Assumptions!$B$6*F99*C99</x:f>
        <x:v>21511.153588306704</x:v>
      </x:c>
      <x:c r="H99" s="5" t="n">
        <x:f>G99*IF(Assumptions!$B$8=0,Assumptions!$B$9,(1-(1+Assumptions!$B$8)^(-Assumptions!$B$9))/Assumptions!$B$8)</x:f>
        <x:v>239169.3397076676</x:v>
      </x:c>
      <x:c r="I99" s="5" t="n">
        <x:f>H99/(1+Assumptions!$B$4)^E99</x:f>
        <x:v>115044.54173851566</x:v>
      </x:c>
    </x:row>
    <x:row r="100">
      <x:c r="A100" t="inlineStr">
        <x:is>
          <x:t xml:space="preserve">E097</x:t>
        </x:is>
      </x:c>
      <x:c r="B100" t="n">
        <x:v>41</x:v>
      </x:c>
      <x:c r="C100" t="n">
        <x:v>1</x:v>
      </x:c>
      <x:c r="D100" s="5" t="n">
        <x:v>70628</x:v>
      </x:c>
      <x:c r="E100" s="7" t="n">
        <x:f>MAX(Assumptions!$B$7-B100,0)</x:f>
        <x:v>24</x:v>
      </x:c>
      <x:c r="F100" s="5" t="n">
        <x:f>D100*(1+Assumptions!$B$5)^E100</x:f>
        <x:v>181041.04655797468</x:v>
      </x:c>
      <x:c r="G100" s="5" t="n">
        <x:f>Assumptions!$B$6*F100*C100</x:f>
        <x:v>2715.61569836962</x:v>
      </x:c>
      <x:c r="H100" s="5" t="n">
        <x:f>G100*IF(Assumptions!$B$8=0,Assumptions!$B$9,(1-(1+Assumptions!$B$8)^(-Assumptions!$B$9))/Assumptions!$B$8)</x:f>
        <x:v>30193.267451351257</x:v>
      </x:c>
      <x:c r="I100" s="5" t="n">
        <x:f>H100/(1+Assumptions!$B$4)^E100</x:f>
        <x:v>9361.963343245638</x:v>
      </x:c>
    </x:row>
    <x:row r="101">
      <x:c r="A101" t="inlineStr">
        <x:is>
          <x:t xml:space="preserve">E098</x:t>
        </x:is>
      </x:c>
      <x:c r="B101" t="n">
        <x:v>28</x:v>
      </x:c>
      <x:c r="C101" t="n">
        <x:v>0</x:v>
      </x:c>
      <x:c r="D101" s="5" t="n">
        <x:v>155225</x:v>
      </x:c>
      <x:c r="E101" s="7" t="n">
        <x:f>MAX(Assumptions!$B$7-B101,0)</x:f>
        <x:v>37</x:v>
      </x:c>
      <x:c r="F101" s="5" t="n">
        <x:f>D101*(1+Assumptions!$B$5)^E101</x:f>
        <x:v>662514.2479192751</x:v>
      </x:c>
      <x:c r="G101" s="5" t="n">
        <x:f>Assumptions!$B$6*F101*C101</x:f>
        <x:v>0</x:v>
      </x:c>
      <x:c r="H101" s="5" t="n">
        <x:f>G101*IF(Assumptions!$B$8=0,Assumptions!$B$9,(1-(1+Assumptions!$B$8)^(-Assumptions!$B$9))/Assumptions!$B$8)</x:f>
        <x:v>0</x:v>
      </x:c>
      <x:c r="I101" s="5" t="n">
        <x:f>H101/(1+Assumptions!$B$4)^E101</x:f>
        <x:v>0</x:v>
      </x:c>
    </x:row>
    <x:row r="102">
      <x:c r="A102" t="inlineStr">
        <x:is>
          <x:t xml:space="preserve">E099</x:t>
        </x:is>
      </x:c>
      <x:c r="B102" t="n">
        <x:v>46</x:v>
      </x:c>
      <x:c r="C102" t="n">
        <x:v>0</x:v>
      </x:c>
      <x:c r="D102" s="5" t="n">
        <x:v>147245</x:v>
      </x:c>
      <x:c r="E102" s="7" t="n">
        <x:f>MAX(Assumptions!$B$7-B102,0)</x:f>
        <x:v>19</x:v>
      </x:c>
      <x:c r="F102" s="5" t="n">
        <x:f>D102*(1+Assumptions!$B$5)^E102</x:f>
        <x:v>310223.0069191885</x:v>
      </x:c>
      <x:c r="G102" s="5" t="n">
        <x:f>Assumptions!$B$6*F102*C102</x:f>
        <x:v>0</x:v>
      </x:c>
      <x:c r="H102" s="5" t="n">
        <x:f>G102*IF(Assumptions!$B$8=0,Assumptions!$B$9,(1-(1+Assumptions!$B$8)^(-Assumptions!$B$9))/Assumptions!$B$8)</x:f>
        <x:v>0</x:v>
      </x:c>
      <x:c r="I102" s="5" t="n">
        <x:f>H102/(1+Assumptions!$B$4)^E102</x:f>
        <x:v>0</x:v>
      </x:c>
    </x:row>
    <x:row r="103">
      <x:c r="A103" t="inlineStr">
        <x:is>
          <x:t xml:space="preserve">E100</x:t>
        </x:is>
      </x:c>
      <x:c r="B103" t="n">
        <x:v>51</x:v>
      </x:c>
      <x:c r="C103" t="n">
        <x:v>28</x:v>
      </x:c>
      <x:c r="D103" s="5" t="n">
        <x:v>56115</x:v>
      </x:c>
      <x:c r="E103" s="7" t="n">
        <x:f>MAX(Assumptions!$B$7-B103,0)</x:f>
        <x:v>14</x:v>
      </x:c>
      <x:c r="F103" s="5" t="n">
        <x:f>D103*(1+Assumptions!$B$5)^E103</x:f>
        <x:v>97173.02385723137</x:v>
      </x:c>
      <x:c r="G103" s="5" t="n">
        <x:f>Assumptions!$B$6*F103*C103</x:f>
        <x:v>40812.67002003717</x:v>
      </x:c>
      <x:c r="H103" s="5" t="n">
        <x:f>G103*IF(Assumptions!$B$8=0,Assumptions!$B$9,(1-(1+Assumptions!$B$8)^(-Assumptions!$B$9))/Assumptions!$B$8)</x:f>
        <x:v>453771.0774240062</x:v>
      </x:c>
      <x:c r="I103" s="5" t="n">
        <x:f>H103/(1+Assumptions!$B$4)^E103</x:f>
        <x:v>229185.22920311376</x:v>
      </x:c>
    </x:row>
    <x:row r="104">
      <x:c r="A104" t="inlineStr">
        <x:is>
          <x:t xml:space="preserve">E101</x:t>
        </x:is>
      </x:c>
      <x:c r="B104" t="n">
        <x:v>30</x:v>
      </x:c>
      <x:c r="C104" t="n">
        <x:v>0</x:v>
      </x:c>
      <x:c r="D104" s="5" t="n">
        <x:v>97268</x:v>
      </x:c>
      <x:c r="E104" s="7" t="n">
        <x:f>MAX(Assumptions!$B$7-B104,0)</x:f>
        <x:v>35</x:v>
      </x:c>
      <x:c r="F104" s="5" t="n">
        <x:f>D104*(1+Assumptions!$B$5)^E104</x:f>
        <x:v>383828.1842890072</x:v>
      </x:c>
      <x:c r="G104" s="5" t="n">
        <x:f>Assumptions!$B$6*F104*C104</x:f>
        <x:v>0</x:v>
      </x:c>
      <x:c r="H104" s="5" t="n">
        <x:f>G104*IF(Assumptions!$B$8=0,Assumptions!$B$9,(1-(1+Assumptions!$B$8)^(-Assumptions!$B$9))/Assumptions!$B$8)</x:f>
        <x:v>0</x:v>
      </x:c>
      <x:c r="I104" s="5" t="n">
        <x:f>H104/(1+Assumptions!$B$4)^E104</x:f>
        <x:v>0</x:v>
      </x:c>
    </x:row>
    <x:row r="105">
      <x:c r="A105" t="inlineStr">
        <x:is>
          <x:t xml:space="preserve">E102</x:t>
        </x:is>
      </x:c>
      <x:c r="B105" t="n">
        <x:v>36</x:v>
      </x:c>
      <x:c r="C105" t="n">
        <x:v>1</x:v>
      </x:c>
      <x:c r="D105" s="5" t="n">
        <x:v>111433</x:v>
      </x:c>
      <x:c r="E105" s="7" t="n">
        <x:f>MAX(Assumptions!$B$7-B105,0)</x:f>
        <x:v>29</x:v>
      </x:c>
      <x:c r="F105" s="5" t="n">
        <x:f>D105*(1+Assumptions!$B$5)^E105</x:f>
        <x:v>347520.6872450952</x:v>
      </x:c>
      <x:c r="G105" s="5" t="n">
        <x:f>Assumptions!$B$6*F105*C105</x:f>
        <x:v>5212.810308676428</x:v>
      </x:c>
      <x:c r="H105" s="5" t="n">
        <x:f>G105*IF(Assumptions!$B$8=0,Assumptions!$B$9,(1-(1+Assumptions!$B$8)^(-Assumptions!$B$9))/Assumptions!$B$8)</x:f>
        <x:v>57958.04462226445</x:v>
      </x:c>
      <x:c r="I105" s="5" t="n">
        <x:f>H105/(1+Assumptions!$B$4)^E105</x:f>
        <x:v>14080.693718471008</x:v>
      </x:c>
    </x:row>
    <x:row r="106">
      <x:c r="A106" t="inlineStr">
        <x:is>
          <x:t xml:space="preserve">E103</x:t>
        </x:is>
      </x:c>
      <x:c r="B106" t="n">
        <x:v>37</x:v>
      </x:c>
      <x:c r="C106" t="n">
        <x:v>16</x:v>
      </x:c>
      <x:c r="D106" s="5" t="n">
        <x:v>56092</x:v>
      </x:c>
      <x:c r="E106" s="7" t="n">
        <x:f>MAX(Assumptions!$B$7-B106,0)</x:f>
        <x:v>28</x:v>
      </x:c>
      <x:c r="F106" s="5" t="n">
        <x:f>D106*(1+Assumptions!$B$5)^E106</x:f>
        <x:v>168203.2665795718</x:v>
      </x:c>
      <x:c r="G106" s="5" t="n">
        <x:f>Assumptions!$B$6*F106*C106</x:f>
        <x:v>40368.78397909723</x:v>
      </x:c>
      <x:c r="H106" s="5" t="n">
        <x:f>G106*IF(Assumptions!$B$8=0,Assumptions!$B$9,(1-(1+Assumptions!$B$8)^(-Assumptions!$B$9))/Assumptions!$B$8)</x:f>
        <x:v>448835.7804451047</x:v>
      </x:c>
      <x:c r="I106" s="5" t="n">
        <x:f>H106/(1+Assumptions!$B$4)^E106</x:f>
        <x:v>114495.15171369615</x:v>
      </x:c>
    </x:row>
    <x:row r="107">
      <x:c r="A107" t="inlineStr">
        <x:is>
          <x:t xml:space="preserve">E104</x:t>
        </x:is>
      </x:c>
      <x:c r="B107" t="n">
        <x:v>27</x:v>
      </x:c>
      <x:c r="C107" t="n">
        <x:v>5</x:v>
      </x:c>
      <x:c r="D107" s="5" t="n">
        <x:v>57528</x:v>
      </x:c>
      <x:c r="E107" s="7" t="n">
        <x:f>MAX(Assumptions!$B$7-B107,0)</x:f>
        <x:v>38</x:v>
      </x:c>
      <x:c r="F107" s="5" t="n">
        <x:f>D107*(1+Assumptions!$B$5)^E107</x:f>
        <x:v>255356.06017376107</x:v>
      </x:c>
      <x:c r="G107" s="5" t="n">
        <x:f>Assumptions!$B$6*F107*C107</x:f>
        <x:v>19151.70451303208</x:v>
      </x:c>
      <x:c r="H107" s="5" t="n">
        <x:f>G107*IF(Assumptions!$B$8=0,Assumptions!$B$9,(1-(1+Assumptions!$B$8)^(-Assumptions!$B$9))/Assumptions!$B$8)</x:f>
        <x:v>212936.0707622935</x:v>
      </x:c>
      <x:c r="I107" s="5" t="n">
        <x:f>H107/(1+Assumptions!$B$4)^E107</x:f>
        <x:v>33346.93102719163</x:v>
      </x:c>
    </x:row>
    <x:row r="108">
      <x:c r="A108" t="inlineStr">
        <x:is>
          <x:t xml:space="preserve">E105</x:t>
        </x:is>
      </x:c>
      <x:c r="B108" t="n">
        <x:v>37</x:v>
      </x:c>
      <x:c r="C108" t="n">
        <x:v>1</x:v>
      </x:c>
      <x:c r="D108" s="5" t="n">
        <x:v>57555</x:v>
      </x:c>
      <x:c r="E108" s="7" t="n">
        <x:f>MAX(Assumptions!$B$7-B108,0)</x:f>
        <x:v>28</x:v>
      </x:c>
      <x:c r="F108" s="5" t="n">
        <x:f>D108*(1+Assumptions!$B$5)^E108</x:f>
        <x:v>172590.36953553543</x:v>
      </x:c>
      <x:c r="G108" s="5" t="n">
        <x:f>Assumptions!$B$6*F108*C108</x:f>
        <x:v>2588.855543033031</x:v>
      </x:c>
      <x:c r="H108" s="5" t="n">
        <x:f>G108*IF(Assumptions!$B$8=0,Assumptions!$B$9,(1-(1+Assumptions!$B$8)^(-Assumptions!$B$9))/Assumptions!$B$8)</x:f>
        <x:v>28783.898933357246</x:v>
      </x:c>
      <x:c r="I108" s="5" t="n">
        <x:f>H108/(1+Assumptions!$B$4)^E108</x:f>
        <x:v>7342.589470069017</x:v>
      </x:c>
    </x:row>
    <x:row r="109">
      <x:c r="A109" t="inlineStr">
        <x:is>
          <x:t xml:space="preserve">E106</x:t>
        </x:is>
      </x:c>
      <x:c r="B109" t="n">
        <x:v>30</x:v>
      </x:c>
      <x:c r="C109" t="n">
        <x:v>2</x:v>
      </x:c>
      <x:c r="D109" s="5" t="n">
        <x:v>83725</x:v>
      </x:c>
      <x:c r="E109" s="7" t="n">
        <x:f>MAX(Assumptions!$B$7-B109,0)</x:f>
        <x:v>35</x:v>
      </x:c>
      <x:c r="F109" s="5" t="n">
        <x:f>D109*(1+Assumptions!$B$5)^E109</x:f>
        <x:v>330386.3010403949</x:v>
      </x:c>
      <x:c r="G109" s="5" t="n">
        <x:f>Assumptions!$B$6*F109*C109</x:f>
        <x:v>9911.589031211846</x:v>
      </x:c>
      <x:c r="H109" s="5" t="n">
        <x:f>G109*IF(Assumptions!$B$8=0,Assumptions!$B$9,(1-(1+Assumptions!$B$8)^(-Assumptions!$B$9))/Assumptions!$B$8)</x:f>
        <x:v>110200.88691744125</x:v>
      </x:c>
      <x:c r="I109" s="5" t="n">
        <x:f>H109/(1+Assumptions!$B$4)^E109</x:f>
        <x:v>19978.35023536999</x:v>
      </x:c>
    </x:row>
    <x:row r="110">
      <x:c r="A110" t="inlineStr">
        <x:is>
          <x:t xml:space="preserve">E107</x:t>
        </x:is>
      </x:c>
      <x:c r="B110" t="n">
        <x:v>25</x:v>
      </x:c>
      <x:c r="C110" t="n">
        <x:v>1</x:v>
      </x:c>
      <x:c r="D110" s="5" t="n">
        <x:v>112597</x:v>
      </x:c>
      <x:c r="E110" s="7" t="n">
        <x:f>MAX(Assumptions!$B$7-B110,0)</x:f>
        <x:v>40</x:v>
      </x:c>
      <x:c r="F110" s="5" t="n">
        <x:f>D110*(1+Assumptions!$B$5)^E110</x:f>
        <x:v>540580.5196437837</x:v>
      </x:c>
      <x:c r="G110" s="5" t="n">
        <x:f>Assumptions!$B$6*F110*C110</x:f>
        <x:v>8108.707794656755</x:v>
      </x:c>
      <x:c r="H110" s="5" t="n">
        <x:f>G110*IF(Assumptions!$B$8=0,Assumptions!$B$9,(1-(1+Assumptions!$B$8)^(-Assumptions!$B$9))/Assumptions!$B$8)</x:f>
        <x:v>90155.75483523539</x:v>
      </x:c>
      <x:c r="I110" s="5" t="n">
        <x:f>H110/(1+Assumptions!$B$4)^E110</x:f>
        <x:v>12806.235708867567</x:v>
      </x:c>
    </x:row>
    <x:row r="111">
      <x:c r="A111" t="inlineStr">
        <x:is>
          <x:t xml:space="preserve">E108</x:t>
        </x:is>
      </x:c>
      <x:c r="B111" t="n">
        <x:v>42</x:v>
      </x:c>
      <x:c r="C111" t="n">
        <x:v>4</x:v>
      </x:c>
      <x:c r="D111" s="5" t="n">
        <x:v>129215</x:v>
      </x:c>
      <x:c r="E111" s="7" t="n">
        <x:f>MAX(Assumptions!$B$7-B111,0)</x:f>
        <x:v>23</x:v>
      </x:c>
      <x:c r="F111" s="5" t="n">
        <x:f>D111*(1+Assumptions!$B$5)^E111</x:f>
        <x:v>318478.21891008434</x:v>
      </x:c>
      <x:c r="G111" s="5" t="n">
        <x:f>Assumptions!$B$6*F111*C111</x:f>
        <x:v>19108.69313460506</x:v>
      </x:c>
      <x:c r="H111" s="5" t="n">
        <x:f>G111*IF(Assumptions!$B$8=0,Assumptions!$B$9,(1-(1+Assumptions!$B$8)^(-Assumptions!$B$9))/Assumptions!$B$8)</x:f>
        <x:v>212457.85359295027</x:v>
      </x:c>
      <x:c r="I111" s="5" t="n">
        <x:f>H111/(1+Assumptions!$B$4)^E111</x:f>
        <x:v>69170.18082103846</x:v>
      </x:c>
    </x:row>
    <x:row r="112">
      <x:c r="A112" t="inlineStr">
        <x:is>
          <x:t xml:space="preserve">E109</x:t>
        </x:is>
      </x:c>
      <x:c r="B112" t="n">
        <x:v>40</x:v>
      </x:c>
      <x:c r="C112" t="n">
        <x:v>6</x:v>
      </x:c>
      <x:c r="D112" s="5" t="n">
        <x:v>51963</x:v>
      </x:c>
      <x:c r="E112" s="7" t="n">
        <x:f>MAX(Assumptions!$B$7-B112,0)</x:f>
        <x:v>25</x:v>
      </x:c>
      <x:c r="F112" s="5" t="n">
        <x:f>D112*(1+Assumptions!$B$5)^E112</x:f>
        <x:v>138524.8532930809</x:v>
      </x:c>
      <x:c r="G112" s="5" t="n">
        <x:f>Assumptions!$B$6*F112*C112</x:f>
        <x:v>12467.236796377281</x:v>
      </x:c>
      <x:c r="H112" s="5" t="n">
        <x:f>G112*IF(Assumptions!$B$8=0,Assumptions!$B$9,(1-(1+Assumptions!$B$8)^(-Assumptions!$B$9))/Assumptions!$B$8)</x:f>
        <x:v>138615.5689107052</x:v>
      </x:c>
      <x:c r="I112" s="5" t="n">
        <x:f>H112/(1+Assumptions!$B$4)^E112</x:f>
        <x:v>40933.561699793354</x:v>
      </x:c>
    </x:row>
    <x:row r="113">
      <x:c r="A113" t="inlineStr">
        <x:is>
          <x:t xml:space="preserve">E110</x:t>
        </x:is>
      </x:c>
      <x:c r="B113" t="n">
        <x:v>50</x:v>
      </x:c>
      <x:c r="C113" t="n">
        <x:v>6</x:v>
      </x:c>
      <x:c r="D113" s="5" t="n">
        <x:v>55359</x:v>
      </x:c>
      <x:c r="E113" s="7" t="n">
        <x:f>MAX(Assumptions!$B$7-B113,0)</x:f>
        <x:v>15</x:v>
      </x:c>
      <x:c r="F113" s="5" t="n">
        <x:f>D113*(1+Assumptions!$B$5)^E113</x:f>
        <x:v>99698.43152135739</x:v>
      </x:c>
      <x:c r="G113" s="5" t="n">
        <x:f>Assumptions!$B$6*F113*C113</x:f>
        <x:v>8972.858836922163</x:v>
      </x:c>
      <x:c r="H113" s="5" t="n">
        <x:f>G113*IF(Assumptions!$B$8=0,Assumptions!$B$9,(1-(1+Assumptions!$B$8)^(-Assumptions!$B$9))/Assumptions!$B$8)</x:f>
        <x:v>99763.7209230541</x:v>
      </x:c>
      <x:c r="I113" s="5" t="n">
        <x:f>H113/(1+Assumptions!$B$4)^E113</x:f>
        <x:v>47988.05553316487</x:v>
      </x:c>
    </x:row>
    <x:row r="114">
      <x:c r="A114" t="inlineStr">
        <x:is>
          <x:t xml:space="preserve">E111</x:t>
        </x:is>
      </x:c>
      <x:c r="B114" t="n">
        <x:v>37</x:v>
      </x:c>
      <x:c r="C114" t="n">
        <x:v>0</x:v>
      </x:c>
      <x:c r="D114" s="5" t="n">
        <x:v>55482</x:v>
      </x:c>
      <x:c r="E114" s="7" t="n">
        <x:f>MAX(Assumptions!$B$7-B114,0)</x:f>
        <x:v>28</x:v>
      </x:c>
      <x:c r="F114" s="5" t="n">
        <x:f>D114*(1+Assumptions!$B$5)^E114</x:f>
        <x:v>166374.0575548706</x:v>
      </x:c>
      <x:c r="G114" s="5" t="n">
        <x:f>Assumptions!$B$6*F114*C114</x:f>
        <x:v>0</x:v>
      </x:c>
      <x:c r="H114" s="5" t="n">
        <x:f>G114*IF(Assumptions!$B$8=0,Assumptions!$B$9,(1-(1+Assumptions!$B$8)^(-Assumptions!$B$9))/Assumptions!$B$8)</x:f>
        <x:v>0</x:v>
      </x:c>
      <x:c r="I114" s="5" t="n">
        <x:f>H114/(1+Assumptions!$B$4)^E114</x:f>
        <x:v>0</x:v>
      </x:c>
    </x:row>
    <x:row r="115">
      <x:c r="A115" t="inlineStr">
        <x:is>
          <x:t xml:space="preserve">E112</x:t>
        </x:is>
      </x:c>
      <x:c r="B115" t="n">
        <x:v>35</x:v>
      </x:c>
      <x:c r="C115" t="n">
        <x:v>3</x:v>
      </x:c>
      <x:c r="D115" s="5" t="n">
        <x:v>43518</x:v>
      </x:c>
      <x:c r="E115" s="7" t="n">
        <x:f>MAX(Assumptions!$B$7-B115,0)</x:f>
        <x:v>30</x:v>
      </x:c>
      <x:c r="F115" s="5" t="n">
        <x:f>D115*(1+Assumptions!$B$5)^E115</x:f>
        <x:v>141146.17284137855</x:v>
      </x:c>
      <x:c r="G115" s="5" t="n">
        <x:f>Assumptions!$B$6*F115*C115</x:f>
        <x:v>6351.577777862034</x:v>
      </x:c>
      <x:c r="H115" s="5" t="n">
        <x:f>G115*IF(Assumptions!$B$8=0,Assumptions!$B$9,(1-(1+Assumptions!$B$8)^(-Assumptions!$B$9))/Assumptions!$B$8)</x:f>
        <x:v>70619.3025398196</x:v>
      </x:c>
      <x:c r="I115" s="5" t="n">
        <x:f>H115/(1+Assumptions!$B$4)^E115</x:f>
        <x:v>16339.714047519603</x:v>
      </x:c>
    </x:row>
    <x:row r="116">
      <x:c r="A116" t="inlineStr">
        <x:is>
          <x:t xml:space="preserve">E113</x:t>
        </x:is>
      </x:c>
      <x:c r="B116" t="n">
        <x:v>42</x:v>
      </x:c>
      <x:c r="C116" t="n">
        <x:v>20</x:v>
      </x:c>
      <x:c r="D116" s="5" t="n">
        <x:v>90452</x:v>
      </x:c>
      <x:c r="E116" s="7" t="n">
        <x:f>MAX(Assumptions!$B$7-B116,0)</x:f>
        <x:v>23</x:v>
      </x:c>
      <x:c r="F116" s="5" t="n">
        <x:f>D116*(1+Assumptions!$B$5)^E116</x:f>
        <x:v>222938.4503103738</x:v>
      </x:c>
      <x:c r="G116" s="5" t="n">
        <x:f>Assumptions!$B$6*F116*C116</x:f>
        <x:v>66881.53509311214</x:v>
      </x:c>
      <x:c r="H116" s="5" t="n">
        <x:f>G116*IF(Assumptions!$B$8=0,Assumptions!$B$9,(1-(1+Assumptions!$B$8)^(-Assumptions!$B$9))/Assumptions!$B$8)</x:f>
        <x:v>743614.8192233696</x:v>
      </x:c>
      <x:c r="I116" s="5" t="n">
        <x:f>H116/(1+Assumptions!$B$4)^E116</x:f>
        <x:v>242099.64770439078</x:v>
      </x:c>
    </x:row>
    <x:row r="117">
      <x:c r="A117" t="inlineStr">
        <x:is>
          <x:t xml:space="preserve">E114</x:t>
        </x:is>
      </x:c>
      <x:c r="B117" t="n">
        <x:v>41</x:v>
      </x:c>
      <x:c r="C117" t="n">
        <x:v>16</x:v>
      </x:c>
      <x:c r="D117" s="5" t="n">
        <x:v>111665</x:v>
      </x:c>
      <x:c r="E117" s="7" t="n">
        <x:f>MAX(Assumptions!$B$7-B117,0)</x:f>
        <x:v>24</x:v>
      </x:c>
      <x:c r="F117" s="5" t="n">
        <x:f>D117*(1+Assumptions!$B$5)^E117</x:f>
        <x:v>286231.35957263754</x:v>
      </x:c>
      <x:c r="G117" s="5" t="n">
        <x:f>Assumptions!$B$6*F117*C117</x:f>
        <x:v>68695.52629743301</x:v>
      </x:c>
      <x:c r="H117" s="5" t="n">
        <x:f>G117*IF(Assumptions!$B$8=0,Assumptions!$B$9,(1-(1+Assumptions!$B$8)^(-Assumptions!$B$9))/Assumptions!$B$8)</x:f>
        <x:v>763783.4762315543</x:v>
      </x:c>
      <x:c r="I117" s="5" t="n">
        <x:f>H117/(1+Assumptions!$B$4)^E117</x:f>
        <x:v>236824.7463835361</x:v>
      </x:c>
    </x:row>
    <x:row r="118">
      <x:c r="A118" t="inlineStr">
        <x:is>
          <x:t xml:space="preserve">E115</x:t>
        </x:is>
      </x:c>
      <x:c r="B118" t="n">
        <x:v>43</x:v>
      </x:c>
      <x:c r="C118" t="n">
        <x:v>5</x:v>
      </x:c>
      <x:c r="D118" s="5" t="n">
        <x:v>65503</x:v>
      </x:c>
      <x:c r="E118" s="7" t="n">
        <x:f>MAX(Assumptions!$B$7-B118,0)</x:f>
        <x:v>22</x:v>
      </x:c>
      <x:c r="F118" s="5" t="n">
        <x:f>D118*(1+Assumptions!$B$5)^E118</x:f>
        <x:v>155236.7905999486</x:v>
      </x:c>
      <x:c r="G118" s="5" t="n">
        <x:f>Assumptions!$B$6*F118*C118</x:f>
        <x:v>11642.759294996144</x:v>
      </x:c>
      <x:c r="H118" s="5" t="n">
        <x:f>G118*IF(Assumptions!$B$8=0,Assumptions!$B$9,(1-(1+Assumptions!$B$8)^(-Assumptions!$B$9))/Assumptions!$B$8)</x:f>
        <x:v>129448.70862124377</x:v>
      </x:c>
      <x:c r="I118" s="5" t="n">
        <x:f>H118/(1+Assumptions!$B$4)^E118</x:f>
        <x:v>44252.02435450183</x:v>
      </x:c>
    </x:row>
    <x:row r="119">
      <x:c r="A119" t="inlineStr">
        <x:is>
          <x:t xml:space="preserve">E116</x:t>
        </x:is>
      </x:c>
      <x:c r="B119" t="n">
        <x:v>39</x:v>
      </x:c>
      <x:c r="C119" t="n">
        <x:v>10</x:v>
      </x:c>
      <x:c r="D119" s="5" t="n">
        <x:v>95766</x:v>
      </x:c>
      <x:c r="E119" s="7" t="n">
        <x:f>MAX(Assumptions!$B$7-B119,0)</x:f>
        <x:v>26</x:v>
      </x:c>
      <x:c r="F119" s="5" t="n">
        <x:f>D119*(1+Assumptions!$B$5)^E119</x:f>
        <x:v>265508.3414060735</x:v>
      </x:c>
      <x:c r="G119" s="5" t="n">
        <x:f>Assumptions!$B$6*F119*C119</x:f>
        <x:v>39826.25121091102</x:v>
      </x:c>
      <x:c r="H119" s="5" t="n">
        <x:f>G119*IF(Assumptions!$B$8=0,Assumptions!$B$9,(1-(1+Assumptions!$B$8)^(-Assumptions!$B$9))/Assumptions!$B$8)</x:f>
        <x:v>442803.69093376375</x:v>
      </x:c>
      <x:c r="I119" s="5" t="n">
        <x:f>H119/(1+Assumptions!$B$4)^E119</x:f>
        <x:v>124534.43547689481</x:v>
      </x:c>
    </x:row>
    <x:row r="120">
      <x:c r="A120" t="inlineStr">
        <x:is>
          <x:t xml:space="preserve">E117</x:t>
        </x:is>
      </x:c>
      <x:c r="B120" t="n">
        <x:v>45</x:v>
      </x:c>
      <x:c r="C120" t="n">
        <x:v>23</x:v>
      </x:c>
      <x:c r="D120" s="5" t="n">
        <x:v>95193</x:v>
      </x:c>
      <x:c r="E120" s="7" t="n">
        <x:f>MAX(Assumptions!$B$7-B120,0)</x:f>
        <x:v>20</x:v>
      </x:c>
      <x:c r="F120" s="5" t="n">
        <x:f>D120*(1+Assumptions!$B$5)^E120</x:f>
        <x:v>208579.58535478043</x:v>
      </x:c>
      <x:c r="G120" s="5" t="n">
        <x:f>Assumptions!$B$6*F120*C120</x:f>
        <x:v>71959.95694739925</x:v>
      </x:c>
      <x:c r="H120" s="5" t="n">
        <x:f>G120*IF(Assumptions!$B$8=0,Assumptions!$B$9,(1-(1+Assumptions!$B$8)^(-Assumptions!$B$9))/Assumptions!$B$8)</x:f>
        <x:v>800078.6809433233</x:v>
      </x:c>
      <x:c r="I120" s="5" t="n">
        <x:f>H120/(1+Assumptions!$B$4)^E120</x:f>
        <x:v>301541.2403184414</x:v>
      </x:c>
    </x:row>
    <x:row r="121">
      <x:c r="A121" t="inlineStr">
        <x:is>
          <x:t xml:space="preserve">E118</x:t>
        </x:is>
      </x:c>
      <x:c r="B121" t="n">
        <x:v>35</x:v>
      </x:c>
      <x:c r="C121" t="n">
        <x:v>5</x:v>
      </x:c>
      <x:c r="D121" s="5" t="n">
        <x:v>71471</x:v>
      </x:c>
      <x:c r="E121" s="7" t="n">
        <x:f>MAX(Assumptions!$B$7-B121,0)</x:f>
        <x:v>30</x:v>
      </x:c>
      <x:c r="F121" s="5" t="n">
        <x:f>D121*(1+Assumptions!$B$5)^E121</x:f>
        <x:v>231808.8634391784</x:v>
      </x:c>
      <x:c r="G121" s="5" t="n">
        <x:f>Assumptions!$B$6*F121*C121</x:f>
        <x:v>17385.66475793838</x:v>
      </x:c>
      <x:c r="H121" s="5" t="n">
        <x:f>G121*IF(Assumptions!$B$8=0,Assumptions!$B$9,(1-(1+Assumptions!$B$8)^(-Assumptions!$B$9))/Assumptions!$B$8)</x:f>
        <x:v>193300.5565445504</x:v>
      </x:c>
      <x:c r="I121" s="5" t="n">
        <x:f>H121/(1+Assumptions!$B$4)^E121</x:f>
        <x:v>44725.38959703546</x:v>
      </x:c>
    </x:row>
    <x:row r="122">
      <x:c r="A122" t="inlineStr">
        <x:is>
          <x:t xml:space="preserve">E119</x:t>
        </x:is>
      </x:c>
      <x:c r="B122" t="n">
        <x:v>60</x:v>
      </x:c>
      <x:c r="C122" t="n">
        <x:v>17</x:v>
      </x:c>
      <x:c r="D122" s="5" t="n">
        <x:v>155766</x:v>
      </x:c>
      <x:c r="E122" s="7" t="n">
        <x:f>MAX(Assumptions!$B$7-B122,0)</x:f>
        <x:v>5</x:v>
      </x:c>
      <x:c r="F122" s="5" t="n">
        <x:f>D122*(1+Assumptions!$B$5)^E122</x:f>
        <x:v>189513.15599523843</x:v>
      </x:c>
      <x:c r="G122" s="5" t="n">
        <x:f>Assumptions!$B$6*F122*C122</x:f>
        <x:v>48325.8547787858</x:v>
      </x:c>
      <x:c r="H122" s="5" t="n">
        <x:f>G122*IF(Assumptions!$B$8=0,Assumptions!$B$9,(1-(1+Assumptions!$B$8)^(-Assumptions!$B$9))/Assumptions!$B$8)</x:f>
        <x:v>537305.5764212341</x:v>
      </x:c>
      <x:c r="I122" s="5" t="n">
        <x:f>H122/(1+Assumptions!$B$4)^E122</x:f>
        <x:v>420992.97851545503</x:v>
      </x:c>
    </x:row>
    <x:row r="123">
      <x:c r="A123" t="inlineStr">
        <x:is>
          <x:t xml:space="preserve">E120</x:t>
        </x:is>
      </x:c>
      <x:c r="B123" t="n">
        <x:v>28</x:v>
      </x:c>
      <x:c r="C123" t="n">
        <x:v>0</x:v>
      </x:c>
      <x:c r="D123" s="5" t="n">
        <x:v>55808</x:v>
      </x:c>
      <x:c r="E123" s="7" t="n">
        <x:f>MAX(Assumptions!$B$7-B123,0)</x:f>
        <x:v>37</x:v>
      </x:c>
      <x:c r="F123" s="5" t="n">
        <x:f>D123*(1+Assumptions!$B$5)^E123</x:f>
        <x:v>238193.55869144082</x:v>
      </x:c>
      <x:c r="G123" s="5" t="n">
        <x:f>Assumptions!$B$6*F123*C123</x:f>
        <x:v>0</x:v>
      </x:c>
      <x:c r="H123" s="5" t="n">
        <x:f>G123*IF(Assumptions!$B$8=0,Assumptions!$B$9,(1-(1+Assumptions!$B$8)^(-Assumptions!$B$9))/Assumptions!$B$8)</x:f>
        <x:v>0</x:v>
      </x:c>
      <x:c r="I123" s="5" t="n">
        <x:f>H123/(1+Assumptions!$B$4)^E123</x:f>
        <x:v>0</x:v>
      </x:c>
    </x:row>
    <x:row r="124">
      <x:c r="A124" t="inlineStr">
        <x:is>
          <x:t xml:space="preserve">E121</x:t>
        </x:is>
      </x:c>
      <x:c r="B124" t="n">
        <x:v>31</x:v>
      </x:c>
      <x:c r="C124" t="n">
        <x:v>0</x:v>
      </x:c>
      <x:c r="D124" s="5" t="n">
        <x:v>154386</x:v>
      </x:c>
      <x:c r="E124" s="7" t="n">
        <x:f>MAX(Assumptions!$B$7-B124,0)</x:f>
        <x:v>34</x:v>
      </x:c>
      <x:c r="F124" s="5" t="n">
        <x:f>D124*(1+Assumptions!$B$5)^E124</x:f>
        <x:v>585789.3225580816</x:v>
      </x:c>
      <x:c r="G124" s="5" t="n">
        <x:f>Assumptions!$B$6*F124*C124</x:f>
        <x:v>0</x:v>
      </x:c>
      <x:c r="H124" s="5" t="n">
        <x:f>G124*IF(Assumptions!$B$8=0,Assumptions!$B$9,(1-(1+Assumptions!$B$8)^(-Assumptions!$B$9))/Assumptions!$B$8)</x:f>
        <x:v>0</x:v>
      </x:c>
      <x:c r="I124" s="5" t="n">
        <x:f>H124/(1+Assumptions!$B$4)^E124</x:f>
        <x:v>0</x:v>
      </x:c>
    </x:row>
    <x:row r="125">
      <x:c r="A125" t="inlineStr">
        <x:is>
          <x:t xml:space="preserve">E122</x:t>
        </x:is>
      </x:c>
      <x:c r="B125" t="n">
        <x:v>49</x:v>
      </x:c>
      <x:c r="C125" t="n">
        <x:v>1</x:v>
      </x:c>
      <x:c r="D125" s="5" t="n">
        <x:v>147976</x:v>
      </x:c>
      <x:c r="E125" s="7" t="n">
        <x:f>MAX(Assumptions!$B$7-B125,0)</x:f>
        <x:v>16</x:v>
      </x:c>
      <x:c r="F125" s="5" t="n">
        <x:f>D125*(1+Assumptions!$B$5)^E125</x:f>
        <x:v>277156.2728177272</x:v>
      </x:c>
      <x:c r="G125" s="5" t="n">
        <x:f>Assumptions!$B$6*F125*C125</x:f>
        <x:v>4157.344092265907</x:v>
      </x:c>
      <x:c r="H125" s="5" t="n">
        <x:f>G125*IF(Assumptions!$B$8=0,Assumptions!$B$9,(1-(1+Assumptions!$B$8)^(-Assumptions!$B$9))/Assumptions!$B$8)</x:f>
        <x:v>46222.96230664768</x:v>
      </x:c>
      <x:c r="I125" s="5" t="n">
        <x:f>H125/(1+Assumptions!$B$4)^E125</x:f>
        <x:v>21175.271613249482</x:v>
      </x:c>
    </x:row>
    <x:row r="126">
      <x:c r="A126" t="inlineStr">
        <x:is>
          <x:t xml:space="preserve">E123</x:t>
        </x:is>
      </x:c>
      <x:c r="B126" t="n">
        <x:v>35</x:v>
      </x:c>
      <x:c r="C126" t="n">
        <x:v>0</x:v>
      </x:c>
      <x:c r="D126" s="5" t="n">
        <x:v>129698</x:v>
      </x:c>
      <x:c r="E126" s="7" t="n">
        <x:f>MAX(Assumptions!$B$7-B126,0)</x:f>
        <x:v>30</x:v>
      </x:c>
      <x:c r="F126" s="5" t="n">
        <x:f>D126*(1+Assumptions!$B$5)^E126</x:f>
        <x:v>420662.17025555205</x:v>
      </x:c>
      <x:c r="G126" s="5" t="n">
        <x:f>Assumptions!$B$6*F126*C126</x:f>
        <x:v>0</x:v>
      </x:c>
      <x:c r="H126" s="5" t="n">
        <x:f>G126*IF(Assumptions!$B$8=0,Assumptions!$B$9,(1-(1+Assumptions!$B$8)^(-Assumptions!$B$9))/Assumptions!$B$8)</x:f>
        <x:v>0</x:v>
      </x:c>
      <x:c r="I126" s="5" t="n">
        <x:f>H126/(1+Assumptions!$B$4)^E126</x:f>
        <x:v>0</x:v>
      </x:c>
    </x:row>
    <x:row r="127">
      <x:c r="A127" t="inlineStr">
        <x:is>
          <x:t xml:space="preserve">E124</x:t>
        </x:is>
      </x:c>
      <x:c r="B127" t="n">
        <x:v>35</x:v>
      </x:c>
      <x:c r="C127" t="n">
        <x:v>5</x:v>
      </x:c>
      <x:c r="D127" s="5" t="n">
        <x:v>141748</x:v>
      </x:c>
      <x:c r="E127" s="7" t="n">
        <x:f>MAX(Assumptions!$B$7-B127,0)</x:f>
        <x:v>30</x:v>
      </x:c>
      <x:c r="F127" s="5" t="n">
        <x:f>D127*(1+Assumptions!$B$5)^E127</x:f>
        <x:v>459745.1102513839</x:v>
      </x:c>
      <x:c r="G127" s="5" t="n">
        <x:f>Assumptions!$B$6*F127*C127</x:f>
        <x:v>34480.88326885379</x:v>
      </x:c>
      <x:c r="H127" s="5" t="n">
        <x:f>G127*IF(Assumptions!$B$8=0,Assumptions!$B$9,(1-(1+Assumptions!$B$8)^(-Assumptions!$B$9))/Assumptions!$B$8)</x:f>
        <x:v>383371.8191864802</x:v>
      </x:c>
      <x:c r="I127" s="5" t="n">
        <x:f>H127/(1+Assumptions!$B$4)^E127</x:f>
        <x:v>88703.59340992264</x:v>
      </x:c>
    </x:row>
    <x:row r="128">
      <x:c r="A128" t="inlineStr">
        <x:is>
          <x:t xml:space="preserve">E125</x:t>
        </x:is>
      </x:c>
      <x:c r="B128" t="n">
        <x:v>35</x:v>
      </x:c>
      <x:c r="C128" t="n">
        <x:v>12</x:v>
      </x:c>
      <x:c r="D128" s="5" t="n">
        <x:v>43916</x:v>
      </x:c>
      <x:c r="E128" s="7" t="n">
        <x:f>MAX(Assumptions!$B$7-B128,0)</x:f>
        <x:v>30</x:v>
      </x:c>
      <x:c r="F128" s="5" t="n">
        <x:f>D128*(1+Assumptions!$B$5)^E128</x:f>
        <x:v>142437.04505036952</x:v>
      </x:c>
      <x:c r="G128" s="5" t="n">
        <x:f>Assumptions!$B$6*F128*C128</x:f>
        <x:v>25638.668109066515</x:v>
      </x:c>
      <x:c r="H128" s="5" t="n">
        <x:f>G128*IF(Assumptions!$B$8=0,Assumptions!$B$9,(1-(1+Assumptions!$B$8)^(-Assumptions!$B$9))/Assumptions!$B$8)</x:f>
        <x:v>285060.6452813749</x:v>
      </x:c>
      <x:c r="I128" s="5" t="n">
        <x:f>H128/(1+Assumptions!$B$4)^E128</x:f>
        <x:v>65956.60481739703</x:v>
      </x:c>
    </x:row>
    <x:row r="129">
      <x:c r="A129" t="inlineStr">
        <x:is>
          <x:t xml:space="preserve">E126</x:t>
        </x:is>
      </x:c>
      <x:c r="B129" t="n">
        <x:v>51</x:v>
      </x:c>
      <x:c r="C129" t="n">
        <x:v>16</x:v>
      </x:c>
      <x:c r="D129" s="5" t="n">
        <x:v>121951</x:v>
      </x:c>
      <x:c r="E129" s="7" t="n">
        <x:f>MAX(Assumptions!$B$7-B129,0)</x:f>
        <x:v>14</x:v>
      </x:c>
      <x:c r="F129" s="5" t="n">
        <x:f>D129*(1+Assumptions!$B$5)^E129</x:f>
        <x:v>211179.6744616096</x:v>
      </x:c>
      <x:c r="G129" s="5" t="n">
        <x:f>Assumptions!$B$6*F129*C129</x:f>
        <x:v>50683.1218707863</x:v>
      </x:c>
      <x:c r="H129" s="5" t="n">
        <x:f>G129*IF(Assumptions!$B$8=0,Assumptions!$B$9,(1-(1+Assumptions!$B$8)^(-Assumptions!$B$9))/Assumptions!$B$8)</x:f>
        <x:v>563514.5852311959</x:v>
      </x:c>
      <x:c r="I129" s="5" t="n">
        <x:f>H129/(1+Assumptions!$B$4)^E129</x:f>
        <x:v>284613.15804583876</x:v>
      </x:c>
    </x:row>
    <x:row r="130">
      <x:c r="A130" t="inlineStr">
        <x:is>
          <x:t xml:space="preserve">E127</x:t>
        </x:is>
      </x:c>
      <x:c r="B130" t="n">
        <x:v>50</x:v>
      </x:c>
      <x:c r="C130" t="n">
        <x:v>24</x:v>
      </x:c>
      <x:c r="D130" s="5" t="n">
        <x:v>67430</x:v>
      </x:c>
      <x:c r="E130" s="7" t="n">
        <x:f>MAX(Assumptions!$B$7-B130,0)</x:f>
        <x:v>15</x:v>
      </x:c>
      <x:c r="F130" s="5" t="n">
        <x:f>D130*(1+Assumptions!$B$5)^E130</x:f>
        <x:v>121437.62057633138</x:v>
      </x:c>
      <x:c r="G130" s="5" t="n">
        <x:f>Assumptions!$B$6*F130*C130</x:f>
        <x:v>43717.543407479294</x:v>
      </x:c>
      <x:c r="H130" s="5" t="n">
        <x:f>G130*IF(Assumptions!$B$8=0,Assumptions!$B$9,(1-(1+Assumptions!$B$8)^(-Assumptions!$B$9))/Assumptions!$B$8)</x:f>
        <x:v>486068.58518698235</x:v>
      </x:c>
      <x:c r="I130" s="5" t="n">
        <x:f>H130/(1+Assumptions!$B$4)^E130</x:f>
        <x:v>233807.30031982568</x:v>
      </x:c>
    </x:row>
    <x:row r="131">
      <x:c r="A131" t="inlineStr">
        <x:is>
          <x:t xml:space="preserve">E128</x:t>
        </x:is>
      </x:c>
      <x:c r="B131" t="n">
        <x:v>57</x:v>
      </x:c>
      <x:c r="C131" t="n">
        <x:v>17</x:v>
      </x:c>
      <x:c r="D131" s="5" t="n">
        <x:v>72911</x:v>
      </x:c>
      <x:c r="E131" s="7" t="n">
        <x:f>MAX(Assumptions!$B$7-B131,0)</x:f>
        <x:v>8</x:v>
      </x:c>
      <x:c r="F131" s="5" t="n">
        <x:f>D131*(1+Assumptions!$B$5)^E131</x:f>
        <x:v>99783.73803409892</x:v>
      </x:c>
      <x:c r="G131" s="5" t="n">
        <x:f>Assumptions!$B$6*F131*C131</x:f>
        <x:v>25444.853198695226</x:v>
      </x:c>
      <x:c r="H131" s="5" t="n">
        <x:f>G131*IF(Assumptions!$B$8=0,Assumptions!$B$9,(1-(1+Assumptions!$B$8)^(-Assumptions!$B$9))/Assumptions!$B$8)</x:f>
        <x:v>282905.73601773597</x:v>
      </x:c>
      <x:c r="I131" s="5" t="n">
        <x:f>H131/(1+Assumptions!$B$4)^E131</x:f>
        <x:v>191481.73788050053</x:v>
      </x:c>
    </x:row>
    <x:row r="132">
      <x:c r="A132" t="inlineStr">
        <x:is>
          <x:t xml:space="preserve">E129</x:t>
        </x:is>
      </x:c>
      <x:c r="B132" t="n">
        <x:v>55</x:v>
      </x:c>
      <x:c r="C132" t="n">
        <x:v>4</x:v>
      </x:c>
      <x:c r="D132" s="5" t="n">
        <x:v>64514</x:v>
      </x:c>
      <x:c r="E132" s="7" t="n">
        <x:f>MAX(Assumptions!$B$7-B132,0)</x:f>
        <x:v>10</x:v>
      </x:c>
      <x:c r="F132" s="5" t="n">
        <x:f>D132*(1+Assumptions!$B$5)^E132</x:f>
        <x:v>95496.47979722207</x:v>
      </x:c>
      <x:c r="G132" s="5" t="n">
        <x:f>Assumptions!$B$6*F132*C132</x:f>
        <x:v>5729.788787833324</x:v>
      </x:c>
      <x:c r="H132" s="5" t="n">
        <x:f>G132*IF(Assumptions!$B$8=0,Assumptions!$B$9,(1-(1+Assumptions!$B$8)^(-Assumptions!$B$9))/Assumptions!$B$8)</x:f>
        <x:v>63706.011647623876</x:v>
      </x:c>
      <x:c r="I132" s="5" t="n">
        <x:f>H132/(1+Assumptions!$B$4)^E132</x:f>
        <x:v>39109.96488069827</x:v>
      </x:c>
    </x:row>
    <x:row r="133">
      <x:c r="A133" t="inlineStr">
        <x:is>
          <x:t xml:space="preserve">E130</x:t>
        </x:is>
      </x:c>
      <x:c r="B133" t="n">
        <x:v>29</x:v>
      </x:c>
      <x:c r="C133" t="n">
        <x:v>4</x:v>
      </x:c>
      <x:c r="D133" s="5" t="n">
        <x:v>99512</x:v>
      </x:c>
      <x:c r="E133" s="7" t="n">
        <x:f>MAX(Assumptions!$B$7-B133,0)</x:f>
        <x:v>36</x:v>
      </x:c>
      <x:c r="F133" s="5" t="n">
        <x:f>D133*(1+Assumptions!$B$5)^E133</x:f>
        <x:v>408390.53631169954</x:v>
      </x:c>
      <x:c r="G133" s="5" t="n">
        <x:f>Assumptions!$B$6*F133*C133</x:f>
        <x:v>24503.432178701973</x:v>
      </x:c>
      <x:c r="H133" s="5" t="n">
        <x:f>G133*IF(Assumptions!$B$8=0,Assumptions!$B$9,(1-(1+Assumptions!$B$8)^(-Assumptions!$B$9))/Assumptions!$B$8)</x:f>
        <x:v>272438.6523806641</x:v>
      </x:c>
      <x:c r="I133" s="5" t="n">
        <x:f>H133/(1+Assumptions!$B$4)^E133</x:f>
        <x:v>47038.55336301154</x:v>
      </x:c>
    </x:row>
    <x:row r="134">
      <x:c r="A134" t="inlineStr">
        <x:is>
          <x:t xml:space="preserve">E131</x:t>
        </x:is>
      </x:c>
      <x:c r="B134" t="n">
        <x:v>50</x:v>
      </x:c>
      <x:c r="C134" t="n">
        <x:v>8</x:v>
      </x:c>
      <x:c r="D134" s="5" t="n">
        <x:v>103111</x:v>
      </x:c>
      <x:c r="E134" s="7" t="n">
        <x:f>MAX(Assumptions!$B$7-B134,0)</x:f>
        <x:v>15</x:v>
      </x:c>
      <x:c r="F134" s="5" t="n">
        <x:f>D134*(1+Assumptions!$B$5)^E134</x:f>
        <x:v>185697.08579632366</x:v>
      </x:c>
      <x:c r="G134" s="5" t="n">
        <x:f>Assumptions!$B$6*F134*C134</x:f>
        <x:v>22283.65029555884</x:v>
      </x:c>
      <x:c r="H134" s="5" t="n">
        <x:f>G134*IF(Assumptions!$B$8=0,Assumptions!$B$9,(1-(1+Assumptions!$B$8)^(-Assumptions!$B$9))/Assumptions!$B$8)</x:f>
        <x:v>247758.257388971</x:v>
      </x:c>
      <x:c r="I134" s="5" t="n">
        <x:f>H134/(1+Assumptions!$B$4)^E134</x:f>
        <x:v>119175.95799731844</x:v>
      </x:c>
    </x:row>
    <x:row r="135">
      <x:c r="A135" t="inlineStr">
        <x:is>
          <x:t xml:space="preserve">E132</x:t>
        </x:is>
      </x:c>
      <x:c r="B135" t="n">
        <x:v>57</x:v>
      </x:c>
      <x:c r="C135" t="n">
        <x:v>9</x:v>
      </x:c>
      <x:c r="D135" s="5" t="n">
        <x:v>91044</x:v>
      </x:c>
      <x:c r="E135" s="7" t="n">
        <x:f>MAX(Assumptions!$B$7-B135,0)</x:f>
        <x:v>8</x:v>
      </x:c>
      <x:c r="F135" s="5" t="n">
        <x:f>D135*(1+Assumptions!$B$5)^E135</x:f>
        <x:v>124600.00062509776</x:v>
      </x:c>
      <x:c r="G135" s="5" t="n">
        <x:f>Assumptions!$B$6*F135*C135</x:f>
        <x:v>16821.000084388197</x:v>
      </x:c>
      <x:c r="H135" s="5" t="n">
        <x:f>G135*IF(Assumptions!$B$8=0,Assumptions!$B$9,(1-(1+Assumptions!$B$8)^(-Assumptions!$B$9))/Assumptions!$B$8)</x:f>
        <x:v>187022.39593476075</x:v>
      </x:c>
      <x:c r="I135" s="5" t="n">
        <x:f>H135/(1+Assumptions!$B$4)^E135</x:f>
        <x:v>126584.11914955996</x:v>
      </x:c>
    </x:row>
    <x:row r="136">
      <x:c r="A136" t="inlineStr">
        <x:is>
          <x:t xml:space="preserve">E133</x:t>
        </x:is>
      </x:c>
      <x:c r="B136" t="n">
        <x:v>44</x:v>
      </x:c>
      <x:c r="C136" t="n">
        <x:v>18</x:v>
      </x:c>
      <x:c r="D136" s="5" t="n">
        <x:v>45649</x:v>
      </x:c>
      <x:c r="E136" s="7" t="n">
        <x:f>MAX(Assumptions!$B$7-B136,0)</x:f>
        <x:v>21</x:v>
      </x:c>
      <x:c r="F136" s="5" t="n">
        <x:f>D136*(1+Assumptions!$B$5)^E136</x:f>
        <x:v>104023.48357058594</x:v>
      </x:c>
      <x:c r="G136" s="5" t="n">
        <x:f>Assumptions!$B$6*F136*C136</x:f>
        <x:v>28086.340564058202</x:v>
      </x:c>
      <x:c r="H136" s="5" t="n">
        <x:f>G136*IF(Assumptions!$B$8=0,Assumptions!$B$9,(1-(1+Assumptions!$B$8)^(-Assumptions!$B$9))/Assumptions!$B$8)</x:f>
        <x:v>312274.8159430186</x:v>
      </x:c>
      <x:c r="I136" s="5" t="n">
        <x:f>H136/(1+Assumptions!$B$4)^E136</x:f>
        <x:v>112088.66085240537</x:v>
      </x:c>
    </x:row>
    <x:row r="137">
      <x:c r="A137" t="inlineStr">
        <x:is>
          <x:t xml:space="preserve">E134</x:t>
        </x:is>
      </x:c>
      <x:c r="B137" t="n">
        <x:v>47</x:v>
      </x:c>
      <x:c r="C137" t="n">
        <x:v>14</x:v>
      </x:c>
      <x:c r="D137" s="5" t="n">
        <x:v>115247</x:v>
      </x:c>
      <x:c r="E137" s="7" t="n">
        <x:f>MAX(Assumptions!$B$7-B137,0)</x:f>
        <x:v>18</x:v>
      </x:c>
      <x:c r="F137" s="5" t="n">
        <x:f>D137*(1+Assumptions!$B$5)^E137</x:f>
        <x:v>233469.27594782974</x:v>
      </x:c>
      <x:c r="G137" s="5" t="n">
        <x:f>Assumptions!$B$6*F137*C137</x:f>
        <x:v>49028.547949044245</x:v>
      </x:c>
      <x:c r="H137" s="5" t="n">
        <x:f>G137*IF(Assumptions!$B$8=0,Assumptions!$B$9,(1-(1+Assumptions!$B$8)^(-Assumptions!$B$9))/Assumptions!$B$8)</x:f>
        <x:v>545118.391334106</x:v>
      </x:c>
      <x:c r="I137" s="5" t="n">
        <x:f>H137/(1+Assumptions!$B$4)^E137</x:f>
        <x:v>226507.9509474566</x:v>
      </x:c>
    </x:row>
    <x:row r="138">
      <x:c r="A138" t="inlineStr">
        <x:is>
          <x:t xml:space="preserve">E135</x:t>
        </x:is>
      </x:c>
      <x:c r="B138" t="n">
        <x:v>38</x:v>
      </x:c>
      <x:c r="C138" t="n">
        <x:v>13</x:v>
      </x:c>
      <x:c r="D138" s="5" t="n">
        <x:v>70056</x:v>
      </x:c>
      <x:c r="E138" s="7" t="n">
        <x:f>MAX(Assumptions!$B$7-B138,0)</x:f>
        <x:v>27</x:v>
      </x:c>
      <x:c r="F138" s="5" t="n">
        <x:f>D138*(1+Assumptions!$B$5)^E138</x:f>
        <x:v>201997.26896983938</x:v>
      </x:c>
      <x:c r="G138" s="5" t="n">
        <x:f>Assumptions!$B$6*F138*C138</x:f>
        <x:v>39389.46744911868</x:v>
      </x:c>
      <x:c r="H138" s="5" t="n">
        <x:f>G138*IF(Assumptions!$B$8=0,Assumptions!$B$9,(1-(1+Assumptions!$B$8)^(-Assumptions!$B$9))/Assumptions!$B$8)</x:f>
        <x:v>437947.3598460767</x:v>
      </x:c>
      <x:c r="I138" s="5" t="n">
        <x:f>H138/(1+Assumptions!$B$4)^E138</x:f>
        <x:v>117303.46414536376</x:v>
      </x:c>
    </x:row>
    <x:row r="139">
      <x:c r="A139" t="inlineStr">
        <x:is>
          <x:t xml:space="preserve">E136</x:t>
        </x:is>
      </x:c>
      <x:c r="B139" t="n">
        <x:v>25</x:v>
      </x:c>
      <x:c r="C139" t="n">
        <x:v>3</x:v>
      </x:c>
      <x:c r="D139" s="5" t="n">
        <x:v>102159</x:v>
      </x:c>
      <x:c r="E139" s="7" t="n">
        <x:f>MAX(Assumptions!$B$7-B139,0)</x:f>
        <x:v>40</x:v>
      </x:c>
      <x:c r="F139" s="5" t="n">
        <x:f>D139*(1+Assumptions!$B$5)^E139</x:f>
        <x:v>490467.4663293809</x:v>
      </x:c>
      <x:c r="G139" s="5" t="n">
        <x:f>Assumptions!$B$6*F139*C139</x:f>
        <x:v>22071.03598482214</x:v>
      </x:c>
      <x:c r="H139" s="5" t="n">
        <x:f>G139*IF(Assumptions!$B$8=0,Assumptions!$B$9,(1-(1+Assumptions!$B$8)^(-Assumptions!$B$9))/Assumptions!$B$8)</x:f>
        <x:v>245394.329108577</x:v>
      </x:c>
      <x:c r="I139" s="5" t="n">
        <x:f>H139/(1+Assumptions!$B$4)^E139</x:f>
        <x:v>34857.2049108467</x:v>
      </x:c>
    </x:row>
    <x:row r="140">
      <x:c r="A140" t="inlineStr">
        <x:is>
          <x:t xml:space="preserve">E137</x:t>
        </x:is>
      </x:c>
      <x:c r="B140" t="n">
        <x:v>56</x:v>
      </x:c>
      <x:c r="C140" t="n">
        <x:v>19</x:v>
      </x:c>
      <x:c r="D140" s="5" t="n">
        <x:v>150963</x:v>
      </x:c>
      <x:c r="E140" s="7" t="n">
        <x:f>MAX(Assumptions!$B$7-B140,0)</x:f>
        <x:v>9</x:v>
      </x:c>
      <x:c r="F140" s="5" t="n">
        <x:f>D140*(1+Assumptions!$B$5)^E140</x:f>
        <x:v>214867.42113858464</x:v>
      </x:c>
      <x:c r="G140" s="5" t="n">
        <x:f>Assumptions!$B$6*F140*C140</x:f>
        <x:v>61237.21502449662</x:v>
      </x:c>
      <x:c r="H140" s="5" t="n">
        <x:f>G140*IF(Assumptions!$B$8=0,Assumptions!$B$9,(1-(1+Assumptions!$B$8)^(-Assumptions!$B$9))/Assumptions!$B$8)</x:f>
        <x:v>680859.0819093405</x:v>
      </x:c>
      <x:c r="I140" s="5" t="n">
        <x:f>H140/(1+Assumptions!$B$4)^E140</x:f>
        <x:v>438887.8348866243</x:v>
      </x:c>
    </x:row>
    <x:row r="141">
      <x:c r="A141" t="inlineStr">
        <x:is>
          <x:t xml:space="preserve">E138</x:t>
        </x:is>
      </x:c>
      <x:c r="B141" t="n">
        <x:v>59</x:v>
      </x:c>
      <x:c r="C141" t="n">
        <x:v>21</x:v>
      </x:c>
      <x:c r="D141" s="5" t="n">
        <x:v>141996</x:v>
      </x:c>
      <x:c r="E141" s="7" t="n">
        <x:f>MAX(Assumptions!$B$7-B141,0)</x:f>
        <x:v>6</x:v>
      </x:c>
      <x:c r="F141" s="5" t="n">
        <x:f>D141*(1+Assumptions!$B$5)^E141</x:f>
        <x:v>179670.23935035808</x:v>
      </x:c>
      <x:c r="G141" s="5" t="n">
        <x:f>Assumptions!$B$6*F141*C141</x:f>
        <x:v>56596.12539536279</x:v>
      </x:c>
      <x:c r="H141" s="5" t="n">
        <x:f>G141*IF(Assumptions!$B$8=0,Assumptions!$B$9,(1-(1+Assumptions!$B$8)^(-Assumptions!$B$9))/Assumptions!$B$8)</x:f>
        <x:v>629257.649305213</x:v>
      </x:c>
      <x:c r="I141" s="5" t="n">
        <x:f>H141/(1+Assumptions!$B$4)^E141</x:f>
        <x:v>469561.7463629213</x:v>
      </x:c>
    </x:row>
    <x:row r="142">
      <x:c r="A142" t="inlineStr">
        <x:is>
          <x:t xml:space="preserve">E139</x:t>
        </x:is>
      </x:c>
      <x:c r="B142" t="n">
        <x:v>49</x:v>
      </x:c>
      <x:c r="C142" t="n">
        <x:v>4</x:v>
      </x:c>
      <x:c r="D142" s="5" t="n">
        <x:v>42176</x:v>
      </x:c>
      <x:c r="E142" s="7" t="n">
        <x:f>MAX(Assumptions!$B$7-B142,0)</x:f>
        <x:v>16</x:v>
      </x:c>
      <x:c r="F142" s="5" t="n">
        <x:f>D142*(1+Assumptions!$B$5)^E142</x:f>
        <x:v>78994.8570197901</x:v>
      </x:c>
      <x:c r="G142" s="5" t="n">
        <x:f>Assumptions!$B$6*F142*C142</x:f>
        <x:v>4739.6914211874055</x:v>
      </x:c>
      <x:c r="H142" s="5" t="n">
        <x:f>G142*IF(Assumptions!$B$8=0,Assumptions!$B$9,(1-(1+Assumptions!$B$8)^(-Assumptions!$B$9))/Assumptions!$B$8)</x:f>
        <x:v>52697.725529685136</x:v>
      </x:c>
      <x:c r="I142" s="5" t="n">
        <x:f>H142/(1+Assumptions!$B$4)^E142</x:f>
        <x:v>24141.435247889116</x:v>
      </x:c>
    </x:row>
    <x:row r="143">
      <x:c r="A143" t="inlineStr">
        <x:is>
          <x:t xml:space="preserve">E140</x:t>
        </x:is>
      </x:c>
      <x:c r="B143" t="n">
        <x:v>59</x:v>
      </x:c>
      <x:c r="C143" t="n">
        <x:v>18</x:v>
      </x:c>
      <x:c r="D143" s="5" t="n">
        <x:v>127653</x:v>
      </x:c>
      <x:c r="E143" s="7" t="n">
        <x:f>MAX(Assumptions!$B$7-B143,0)</x:f>
        <x:v>6</x:v>
      </x:c>
      <x:c r="F143" s="5" t="n">
        <x:f>D143*(1+Assumptions!$B$5)^E143</x:f>
        <x:v>161521.76866806994</x:v>
      </x:c>
      <x:c r="G143" s="5" t="n">
        <x:f>Assumptions!$B$6*F143*C143</x:f>
        <x:v>43610.87754037888</x:v>
      </x:c>
      <x:c r="H143" s="5" t="n">
        <x:f>G143*IF(Assumptions!$B$8=0,Assumptions!$B$9,(1-(1+Assumptions!$B$8)^(-Assumptions!$B$9))/Assumptions!$B$8)</x:f>
        <x:v>484882.6327507718</x:v>
      </x:c>
      <x:c r="I143" s="5" t="n">
        <x:f>H143/(1+Assumptions!$B$4)^E143</x:f>
        <x:v>361826.8861203293</x:v>
      </x:c>
    </x:row>
    <x:row r="144">
      <x:c r="A144" t="inlineStr">
        <x:is>
          <x:t xml:space="preserve">E141</x:t>
        </x:is>
      </x:c>
      <x:c r="B144" t="n">
        <x:v>37</x:v>
      </x:c>
      <x:c r="C144" t="n">
        <x:v>4</x:v>
      </x:c>
      <x:c r="D144" s="5" t="n">
        <x:v>92886</x:v>
      </x:c>
      <x:c r="E144" s="7" t="n">
        <x:f>MAX(Assumptions!$B$7-B144,0)</x:f>
        <x:v>28</x:v>
      </x:c>
      <x:c r="F144" s="5" t="n">
        <x:f>D144*(1+Assumptions!$B$5)^E144</x:f>
        <x:v>278537.55650556413</x:v>
      </x:c>
      <x:c r="G144" s="5" t="n">
        <x:f>Assumptions!$B$6*F144*C144</x:f>
        <x:v>16712.253390333848</x:v>
      </x:c>
      <x:c r="H144" s="5" t="n">
        <x:f>G144*IF(Assumptions!$B$8=0,Assumptions!$B$9,(1-(1+Assumptions!$B$8)^(-Assumptions!$B$9))/Assumptions!$B$8)</x:f>
        <x:v>185813.30805829703</x:v>
      </x:c>
      <x:c r="I144" s="5" t="n">
        <x:f>H144/(1+Assumptions!$B$4)^E144</x:f>
        <x:v>47399.79258217919</x:v>
      </x:c>
    </x:row>
    <x:row r="145">
      <x:c r="A145" t="inlineStr">
        <x:is>
          <x:t xml:space="preserve">E142</x:t>
        </x:is>
      </x:c>
      <x:c r="B145" t="n">
        <x:v>37</x:v>
      </x:c>
      <x:c r="C145" t="n">
        <x:v>11</x:v>
      </x:c>
      <x:c r="D145" s="5" t="n">
        <x:v>91697</x:v>
      </x:c>
      <x:c r="E145" s="7" t="n">
        <x:f>MAX(Assumptions!$B$7-B145,0)</x:f>
        <x:v>28</x:v>
      </x:c>
      <x:c r="F145" s="5" t="n">
        <x:f>D145*(1+Assumptions!$B$5)^E145</x:f>
        <x:v>274972.09825905645</x:v>
      </x:c>
      <x:c r="G145" s="5" t="n">
        <x:f>Assumptions!$B$6*F145*C145</x:f>
        <x:v>45370.39621274431</x:v>
      </x:c>
      <x:c r="H145" s="5" t="n">
        <x:f>G145*IF(Assumptions!$B$8=0,Assumptions!$B$9,(1-(1+Assumptions!$B$8)^(-Assumptions!$B$9))/Assumptions!$B$8)</x:f>
        <x:v>504445.6430442647</x:v>
      </x:c>
      <x:c r="I145" s="5" t="n">
        <x:f>H145/(1+Assumptions!$B$4)^E145</x:f>
        <x:v>128680.87382514299</x:v>
      </x:c>
    </x:row>
    <x:row r="146">
      <x:c r="A146" t="inlineStr">
        <x:is>
          <x:t xml:space="preserve">E143</x:t>
        </x:is>
      </x:c>
      <x:c r="B146" t="n">
        <x:v>45</x:v>
      </x:c>
      <x:c r="C146" t="n">
        <x:v>15</x:v>
      </x:c>
      <x:c r="D146" s="5" t="n">
        <x:v>85532</x:v>
      </x:c>
      <x:c r="E146" s="7" t="n">
        <x:f>MAX(Assumptions!$B$7-B146,0)</x:f>
        <x:v>20</x:v>
      </x:c>
      <x:c r="F146" s="5" t="n">
        <x:f>D146*(1+Assumptions!$B$5)^E146</x:f>
        <x:v>187411.14466993455</x:v>
      </x:c>
      <x:c r="G146" s="5" t="n">
        <x:f>Assumptions!$B$6*F146*C146</x:f>
        <x:v>42167.507550735274</x:v>
      </x:c>
      <x:c r="H146" s="5" t="n">
        <x:f>G146*IF(Assumptions!$B$8=0,Assumptions!$B$9,(1-(1+Assumptions!$B$8)^(-Assumptions!$B$9))/Assumptions!$B$8)</x:f>
        <x:v>468834.6859979497</x:v>
      </x:c>
      <x:c r="I146" s="5" t="n">
        <x:f>H146/(1+Assumptions!$B$4)^E146</x:f>
        <x:v>176698.86235869277</x:v>
      </x:c>
    </x:row>
    <x:row r="147">
      <x:c r="A147" t="inlineStr">
        <x:is>
          <x:t xml:space="preserve">E144</x:t>
        </x:is>
      </x:c>
      <x:c r="B147" t="n">
        <x:v>54</x:v>
      </x:c>
      <x:c r="C147" t="n">
        <x:v>15</x:v>
      </x:c>
      <x:c r="D147" s="5" t="n">
        <x:v>153613</x:v>
      </x:c>
      <x:c r="E147" s="7" t="n">
        <x:f>MAX(Assumptions!$B$7-B147,0)</x:f>
        <x:v>11</x:v>
      </x:c>
      <x:c r="F147" s="5" t="n">
        <x:f>D147*(1+Assumptions!$B$5)^E147</x:f>
        <x:v>236480.15595272812</x:v>
      </x:c>
      <x:c r="G147" s="5" t="n">
        <x:f>Assumptions!$B$6*F147*C147</x:f>
        <x:v>53208.035089363824</x:v>
      </x:c>
      <x:c r="H147" s="5" t="n">
        <x:f>G147*IF(Assumptions!$B$8=0,Assumptions!$B$9,(1-(1+Assumptions!$B$8)^(-Assumptions!$B$9))/Assumptions!$B$8)</x:f>
        <x:v>591587.5486279435</x:v>
      </x:c>
      <x:c r="I147" s="5" t="n">
        <x:f>H147/(1+Assumptions!$B$4)^E147</x:f>
        <x:v>345888.98736417416</x:v>
      </x:c>
    </x:row>
    <x:row r="148">
      <x:c r="A148" t="inlineStr">
        <x:is>
          <x:t xml:space="preserve">E145</x:t>
        </x:is>
      </x:c>
      <x:c r="B148" t="n">
        <x:v>30</x:v>
      </x:c>
      <x:c r="C148" t="n">
        <x:v>5</x:v>
      </x:c>
      <x:c r="D148" s="5" t="n">
        <x:v>79033</x:v>
      </x:c>
      <x:c r="E148" s="7" t="n">
        <x:f>MAX(Assumptions!$B$7-B148,0)</x:f>
        <x:v>35</x:v>
      </x:c>
      <x:c r="F148" s="5" t="n">
        <x:f>D148*(1+Assumptions!$B$5)^E148</x:f>
        <x:v>311871.2514795524</x:v>
      </x:c>
      <x:c r="G148" s="5" t="n">
        <x:f>Assumptions!$B$6*F148*C148</x:f>
        <x:v>23390.34386096643</x:v>
      </x:c>
      <x:c r="H148" s="5" t="n">
        <x:f>G148*IF(Assumptions!$B$8=0,Assumptions!$B$9,(1-(1+Assumptions!$B$8)^(-Assumptions!$B$9))/Assumptions!$B$8)</x:f>
        <x:v>260062.90521786007</x:v>
      </x:c>
      <x:c r="I148" s="5" t="n">
        <x:f>H148/(1+Assumptions!$B$4)^E148</x:f>
        <x:v>47146.878296566036</x:v>
      </x:c>
    </x:row>
    <x:row r="149">
      <x:c r="A149" t="inlineStr">
        <x:is>
          <x:t xml:space="preserve">E146</x:t>
        </x:is>
      </x:c>
      <x:c r="B149" t="n">
        <x:v>25</x:v>
      </x:c>
      <x:c r="C149" t="n">
        <x:v>3</x:v>
      </x:c>
      <x:c r="D149" s="5" t="n">
        <x:v>140557</x:v>
      </x:c>
      <x:c r="E149" s="7" t="n">
        <x:f>MAX(Assumptions!$B$7-B149,0)</x:f>
        <x:v>40</x:v>
      </x:c>
      <x:c r="F149" s="5" t="n">
        <x:f>D149*(1+Assumptions!$B$5)^E149</x:f>
        <x:v>674817.0564008927</x:v>
      </x:c>
      <x:c r="G149" s="5" t="n">
        <x:f>Assumptions!$B$6*F149*C149</x:f>
        <x:v>30366.76753804017</x:v>
      </x:c>
      <x:c r="H149" s="5" t="n">
        <x:f>G149*IF(Assumptions!$B$8=0,Assumptions!$B$9,(1-(1+Assumptions!$B$8)^(-Assumptions!$B$9))/Assumptions!$B$8)</x:f>
        <x:v>337629.4865505169</x:v>
      </x:c>
      <x:c r="I149" s="5" t="n">
        <x:f>H149/(1+Assumptions!$B$4)^E149</x:f>
        <x:v>47958.81078176059</x:v>
      </x:c>
    </x:row>
    <x:row r="150">
      <x:c r="A150" t="inlineStr">
        <x:is>
          <x:t xml:space="preserve">E147</x:t>
        </x:is>
      </x:c>
      <x:c r="B150" t="n">
        <x:v>45</x:v>
      </x:c>
      <x:c r="C150" t="n">
        <x:v>20</x:v>
      </x:c>
      <x:c r="D150" s="5" t="n">
        <x:v>75268</x:v>
      </x:c>
      <x:c r="E150" s="7" t="n">
        <x:f>MAX(Assumptions!$B$7-B150,0)</x:f>
        <x:v>20</x:v>
      </x:c>
      <x:c r="F150" s="5" t="n">
        <x:f>D150*(1+Assumptions!$B$5)^E150</x:f>
        <x:v>164921.45672983953</x:v>
      </x:c>
      <x:c r="G150" s="5" t="n">
        <x:f>Assumptions!$B$6*F150*C150</x:f>
        <x:v>49476.43701895185</x:v>
      </x:c>
      <x:c r="H150" s="5" t="n">
        <x:f>G150*IF(Assumptions!$B$8=0,Assumptions!$B$9,(1-(1+Assumptions!$B$8)^(-Assumptions!$B$9))/Assumptions!$B$8)</x:f>
        <x:v>550098.1955399722</x:v>
      </x:c>
      <x:c r="I150" s="5" t="n">
        <x:f>H150/(1+Assumptions!$B$4)^E150</x:f>
        <x:v>207326.22444643077</x:v>
      </x:c>
    </x:row>
    <x:row r="151">
      <x:c r="A151" t="inlineStr">
        <x:is>
          <x:t xml:space="preserve">E148</x:t>
        </x:is>
      </x:c>
      <x:c r="B151" t="n">
        <x:v>26</x:v>
      </x:c>
      <x:c r="C151" t="n">
        <x:v>5</x:v>
      </x:c>
      <x:c r="D151" s="5" t="n">
        <x:v>123716</x:v>
      </x:c>
      <x:c r="E151" s="7" t="n">
        <x:f>MAX(Assumptions!$B$7-B151,0)</x:f>
        <x:v>39</x:v>
      </x:c>
      <x:c r="F151" s="5" t="n">
        <x:f>D151*(1+Assumptions!$B$5)^E151</x:f>
        <x:v>571118.3346209725</x:v>
      </x:c>
      <x:c r="G151" s="5" t="n">
        <x:f>Assumptions!$B$6*F151*C151</x:f>
        <x:v>42833.87509657294</x:v>
      </x:c>
      <x:c r="H151" s="5" t="n">
        <x:f>G151*IF(Assumptions!$B$8=0,Assumptions!$B$9,(1-(1+Assumptions!$B$8)^(-Assumptions!$B$9))/Assumptions!$B$8)</x:f>
        <x:v>476243.6185447959</x:v>
      </x:c>
      <x:c r="I151" s="5" t="n">
        <x:f>H151/(1+Assumptions!$B$4)^E151</x:f>
        <x:v>71030.76722421614</x:v>
      </x:c>
    </x:row>
    <x:row r="152">
      <x:c r="A152" t="inlineStr">
        <x:is>
          <x:t xml:space="preserve">E149</x:t>
        </x:is>
      </x:c>
      <x:c r="B152" t="n">
        <x:v>56</x:v>
      </x:c>
      <x:c r="C152" t="n">
        <x:v>26</x:v>
      </x:c>
      <x:c r="D152" s="5" t="n">
        <x:v>83845</x:v>
      </x:c>
      <x:c r="E152" s="7" t="n">
        <x:f>MAX(Assumptions!$B$7-B152,0)</x:f>
        <x:v>9</x:v>
      </x:c>
      <x:c r="F152" s="5" t="n">
        <x:f>D152*(1+Assumptions!$B$5)^E152</x:f>
        <x:v>119337.57891247941</x:v>
      </x:c>
      <x:c r="G152" s="5" t="n">
        <x:f>Assumptions!$B$6*F152*C152</x:f>
        <x:v>46541.655775866966</x:v>
      </x:c>
      <x:c r="H152" s="5" t="n">
        <x:f>G152*IF(Assumptions!$B$8=0,Assumptions!$B$9,(1-(1+Assumptions!$B$8)^(-Assumptions!$B$9))/Assumptions!$B$8)</x:f>
        <x:v>517468.1606506944</x:v>
      </x:c>
      <x:c r="I152" s="5" t="n">
        <x:f>H152/(1+Assumptions!$B$4)^E152</x:f>
        <x:v>333564.590214261</x:v>
      </x:c>
    </x:row>
    <x:row r="153">
      <x:c r="A153" t="inlineStr">
        <x:is>
          <x:t xml:space="preserve">E150</x:t>
        </x:is>
      </x:c>
      <x:c r="B153" t="n">
        <x:v>40</x:v>
      </x:c>
      <x:c r="C153" t="n">
        <x:v>13</x:v>
      </x:c>
      <x:c r="D153" s="5" t="n">
        <x:v>123449</x:v>
      </x:c>
      <x:c r="E153" s="7" t="n">
        <x:f>MAX(Assumptions!$B$7-B153,0)</x:f>
        <x:v>25</x:v>
      </x:c>
      <x:c r="F153" s="5" t="n">
        <x:f>D153*(1+Assumptions!$B$5)^E153</x:f>
        <x:v>329094.82928579074</x:v>
      </x:c>
      <x:c r="G153" s="5" t="n">
        <x:f>Assumptions!$B$6*F153*C153</x:f>
        <x:v>64173.49171072919</x:v>
      </x:c>
      <x:c r="H153" s="5" t="n">
        <x:f>G153*IF(Assumptions!$B$8=0,Assumptions!$B$9,(1-(1+Assumptions!$B$8)^(-Assumptions!$B$9))/Assumptions!$B$8)</x:f>
        <x:v>713505.743714917</x:v>
      </x:c>
      <x:c r="I153" s="5" t="n">
        <x:f>H153/(1+Assumptions!$B$4)^E153</x:f>
        <x:v>210700.22374128792</x:v>
      </x:c>
    </x:row>
    <x:row r="154">
      <x:c r="A154" t="inlineStr">
        <x:is>
          <x:t xml:space="preserve">E151</x:t>
        </x:is>
      </x:c>
      <x:c r="B154" t="n">
        <x:v>25</x:v>
      </x:c>
      <x:c r="C154" t="n">
        <x:v>1</x:v>
      </x:c>
      <x:c r="D154" s="5" t="n">
        <x:v>55195</x:v>
      </x:c>
      <x:c r="E154" s="7" t="n">
        <x:f>MAX(Assumptions!$B$7-B154,0)</x:f>
        <x:v>40</x:v>
      </x:c>
      <x:c r="F154" s="5" t="n">
        <x:f>D154*(1+Assumptions!$B$5)^E154</x:f>
        <x:v>264992.3335589638</x:v>
      </x:c>
      <x:c r="G154" s="5" t="n">
        <x:f>Assumptions!$B$6*F154*C154</x:f>
        <x:v>3974.8850033844565</x:v>
      </x:c>
      <x:c r="H154" s="5" t="n">
        <x:f>G154*IF(Assumptions!$B$8=0,Assumptions!$B$9,(1-(1+Assumptions!$B$8)^(-Assumptions!$B$9))/Assumptions!$B$8)</x:f>
        <x:v>44194.311465943305</x:v>
      </x:c>
      <x:c r="I154" s="5" t="n">
        <x:f>H154/(1+Assumptions!$B$4)^E154</x:f>
        <x:v>6277.6111259709005</x:v>
      </x:c>
    </x:row>
    <x:row r="155">
      <x:c r="A155" t="inlineStr">
        <x:is>
          <x:t xml:space="preserve">E152</x:t>
        </x:is>
      </x:c>
      <x:c r="B155" t="n">
        <x:v>32</x:v>
      </x:c>
      <x:c r="C155" t="n">
        <x:v>0</x:v>
      </x:c>
      <x:c r="D155" s="5" t="n">
        <x:v>90608</x:v>
      </x:c>
      <x:c r="E155" s="7" t="n">
        <x:f>MAX(Assumptions!$B$7-B155,0)</x:f>
        <x:v>33</x:v>
      </x:c>
      <x:c r="F155" s="5" t="n">
        <x:f>D155*(1+Assumptions!$B$5)^E155</x:f>
        <x:v>330572.5144115714</x:v>
      </x:c>
      <x:c r="G155" s="5" t="n">
        <x:f>Assumptions!$B$6*F155*C155</x:f>
        <x:v>0</x:v>
      </x:c>
      <x:c r="H155" s="5" t="n">
        <x:f>G155*IF(Assumptions!$B$8=0,Assumptions!$B$9,(1-(1+Assumptions!$B$8)^(-Assumptions!$B$9))/Assumptions!$B$8)</x:f>
        <x:v>0</x:v>
      </x:c>
      <x:c r="I155" s="5" t="n">
        <x:f>H155/(1+Assumptions!$B$4)^E155</x:f>
        <x:v>0</x:v>
      </x:c>
    </x:row>
    <x:row r="156">
      <x:c r="A156" t="inlineStr">
        <x:is>
          <x:t xml:space="preserve">E153</x:t>
        </x:is>
      </x:c>
      <x:c r="B156" t="n">
        <x:v>56</x:v>
      </x:c>
      <x:c r="C156" t="n">
        <x:v>25</x:v>
      </x:c>
      <x:c r="D156" s="5" t="n">
        <x:v>58185</x:v>
      </x:c>
      <x:c r="E156" s="7" t="n">
        <x:f>MAX(Assumptions!$B$7-B156,0)</x:f>
        <x:v>9</x:v>
      </x:c>
      <x:c r="F156" s="5" t="n">
        <x:f>D156*(1+Assumptions!$B$5)^E156</x:f>
        <x:v>82815.3978057441</x:v>
      </x:c>
      <x:c r="G156" s="5" t="n">
        <x:f>Assumptions!$B$6*F156*C156</x:f>
        <x:v>31055.774177154035</x:v>
      </x:c>
      <x:c r="H156" s="5" t="n">
        <x:f>G156*IF(Assumptions!$B$8=0,Assumptions!$B$9,(1-(1+Assumptions!$B$8)^(-Assumptions!$B$9))/Assumptions!$B$8)</x:f>
        <x:v>345290.12930752087</x:v>
      </x:c>
      <x:c r="I156" s="5" t="n">
        <x:f>H156/(1+Assumptions!$B$4)^E156</x:f>
        <x:v>222577.09603362405</x:v>
      </x:c>
    </x:row>
    <x:row r="157">
      <x:c r="A157" t="inlineStr">
        <x:is>
          <x:t xml:space="preserve">E154</x:t>
        </x:is>
      </x:c>
      <x:c r="B157" t="n">
        <x:v>36</x:v>
      </x:c>
      <x:c r="C157" t="n">
        <x:v>13</x:v>
      </x:c>
      <x:c r="D157" s="5" t="n">
        <x:v>61055</x:v>
      </x:c>
      <x:c r="E157" s="7" t="n">
        <x:f>MAX(Assumptions!$B$7-B157,0)</x:f>
        <x:v>29</x:v>
      </x:c>
      <x:c r="F157" s="5" t="n">
        <x:f>D157*(1+Assumptions!$B$5)^E157</x:f>
        <x:v>190409.26439878033</x:v>
      </x:c>
      <x:c r="G157" s="5" t="n">
        <x:f>Assumptions!$B$6*F157*C157</x:f>
        <x:v>37129.80655776217</x:v>
      </x:c>
      <x:c r="H157" s="5" t="n">
        <x:f>G157*IF(Assumptions!$B$8=0,Assumptions!$B$9,(1-(1+Assumptions!$B$8)^(-Assumptions!$B$9))/Assumptions!$B$8)</x:f>
        <x:v>412823.5745906566</x:v>
      </x:c>
      <x:c r="I157" s="5" t="n">
        <x:f>H157/(1+Assumptions!$B$4)^E157</x:f>
        <x:v>100293.96870546622</x:v>
      </x:c>
    </x:row>
    <x:row r="158">
      <x:c r="A158" t="inlineStr">
        <x:is>
          <x:t xml:space="preserve">E155</x:t>
        </x:is>
      </x:c>
      <x:c r="B158" t="n">
        <x:v>38</x:v>
      </x:c>
      <x:c r="C158" t="n">
        <x:v>17</x:v>
      </x:c>
      <x:c r="D158" s="5" t="n">
        <x:v>92836</x:v>
      </x:c>
      <x:c r="E158" s="7" t="n">
        <x:f>MAX(Assumptions!$B$7-B158,0)</x:f>
        <x:v>27</x:v>
      </x:c>
      <x:c r="F158" s="5" t="n">
        <x:f>D158*(1+Assumptions!$B$5)^E158</x:f>
        <x:v>267680.40513423557</x:v>
      </x:c>
      <x:c r="G158" s="5" t="n">
        <x:f>Assumptions!$B$6*F158*C158</x:f>
        <x:v>68258.50330923007</x:v>
      </x:c>
      <x:c r="H158" s="5" t="n">
        <x:f>G158*IF(Assumptions!$B$8=0,Assumptions!$B$9,(1-(1+Assumptions!$B$8)^(-Assumptions!$B$9))/Assumptions!$B$8)</x:f>
        <x:v>758924.4853319501</x:v>
      </x:c>
      <x:c r="I158" s="5" t="n">
        <x:f>H158/(1+Assumptions!$B$4)^E158</x:f>
        <x:v>203276.64764428325</x:v>
      </x:c>
    </x:row>
    <x:row r="159">
      <x:c r="A159" t="inlineStr">
        <x:is>
          <x:t xml:space="preserve">E156</x:t>
        </x:is>
      </x:c>
      <x:c r="B159" t="n">
        <x:v>25</x:v>
      </x:c>
      <x:c r="C159" t="n">
        <x:v>4</x:v>
      </x:c>
      <x:c r="D159" s="5" t="n">
        <x:v>113008</x:v>
      </x:c>
      <x:c r="E159" s="7" t="n">
        <x:f>MAX(Assumptions!$B$7-B159,0)</x:f>
        <x:v>40</x:v>
      </x:c>
      <x:c r="F159" s="5" t="n">
        <x:f>D159*(1+Assumptions!$B$5)^E159</x:f>
        <x:v>542553.7391218657</x:v>
      </x:c>
      <x:c r="G159" s="5" t="n">
        <x:f>Assumptions!$B$6*F159*C159</x:f>
        <x:v>32553.22434731194</x:v>
      </x:c>
      <x:c r="H159" s="5" t="n">
        <x:f>G159*IF(Assumptions!$B$8=0,Assumptions!$B$9,(1-(1+Assumptions!$B$8)^(-Assumptions!$B$9))/Assumptions!$B$8)</x:f>
        <x:v>361939.36045970256</x:v>
      </x:c>
      <x:c r="I159" s="5" t="n">
        <x:f>H159/(1+Assumptions!$B$4)^E159</x:f>
        <x:v>51411.923407824586</x:v>
      </x:c>
    </x:row>
    <x:row r="160">
      <x:c r="A160" t="inlineStr">
        <x:is>
          <x:t xml:space="preserve">E157</x:t>
        </x:is>
      </x:c>
      <x:c r="B160" t="n">
        <x:v>37</x:v>
      </x:c>
      <x:c r="C160" t="n">
        <x:v>10</x:v>
      </x:c>
      <x:c r="D160" s="5" t="n">
        <x:v>104421</x:v>
      </x:c>
      <x:c r="E160" s="7" t="n">
        <x:f>MAX(Assumptions!$B$7-B160,0)</x:f>
        <x:v>28</x:v>
      </x:c>
      <x:c r="F160" s="5" t="n">
        <x:f>D160*(1+Assumptions!$B$5)^E160</x:f>
        <x:v>313127.5992923316</x:v>
      </x:c>
      <x:c r="G160" s="5" t="n">
        <x:f>Assumptions!$B$6*F160*C160</x:f>
        <x:v>46969.139893849744</x:v>
      </x:c>
      <x:c r="H160" s="5" t="n">
        <x:f>G160*IF(Assumptions!$B$8=0,Assumptions!$B$9,(1-(1+Assumptions!$B$8)^(-Assumptions!$B$9))/Assumptions!$B$8)</x:f>
        <x:v>522221.0946955256</x:v>
      </x:c>
      <x:c r="I160" s="5" t="n">
        <x:f>H160/(1+Assumptions!$B$4)^E160</x:f>
        <x:v>133215.27843872417</x:v>
      </x:c>
    </x:row>
    <x:row r="161">
      <x:c r="A161" t="inlineStr">
        <x:is>
          <x:t xml:space="preserve">E158</x:t>
        </x:is>
      </x:c>
      <x:c r="B161" t="n">
        <x:v>55</x:v>
      </x:c>
      <x:c r="C161" t="n">
        <x:v>0</x:v>
      </x:c>
      <x:c r="D161" s="5" t="n">
        <x:v>59478</x:v>
      </x:c>
      <x:c r="E161" s="7" t="n">
        <x:f>MAX(Assumptions!$B$7-B161,0)</x:f>
        <x:v>10</x:v>
      </x:c>
      <x:c r="F161" s="5" t="n">
        <x:f>D161*(1+Assumptions!$B$5)^E161</x:f>
        <x:v>88041.96957837329</x:v>
      </x:c>
      <x:c r="G161" s="5" t="n">
        <x:f>Assumptions!$B$6*F161*C161</x:f>
        <x:v>0</x:v>
      </x:c>
      <x:c r="H161" s="5" t="n">
        <x:f>G161*IF(Assumptions!$B$8=0,Assumptions!$B$9,(1-(1+Assumptions!$B$8)^(-Assumptions!$B$9))/Assumptions!$B$8)</x:f>
        <x:v>0</x:v>
      </x:c>
      <x:c r="I161" s="5" t="n">
        <x:f>H161/(1+Assumptions!$B$4)^E161</x:f>
        <x:v>0</x:v>
      </x:c>
    </x:row>
    <x:row r="162">
      <x:c r="A162" t="inlineStr">
        <x:is>
          <x:t xml:space="preserve">E159</x:t>
        </x:is>
      </x:c>
      <x:c r="B162" t="n">
        <x:v>53</x:v>
      </x:c>
      <x:c r="C162" t="n">
        <x:v>10</x:v>
      </x:c>
      <x:c r="D162" s="5" t="n">
        <x:v>146332</x:v>
      </x:c>
      <x:c r="E162" s="7" t="n">
        <x:f>MAX(Assumptions!$B$7-B162,0)</x:f>
        <x:v>12</x:v>
      </x:c>
      <x:c r="F162" s="5" t="n">
        <x:f>D162*(1+Assumptions!$B$5)^E162</x:f>
        <x:v>234282.24660744597</x:v>
      </x:c>
      <x:c r="G162" s="5" t="n">
        <x:f>Assumptions!$B$6*F162*C162</x:f>
        <x:v>35142.33699111689</x:v>
      </x:c>
      <x:c r="H162" s="5" t="n">
        <x:f>G162*IF(Assumptions!$B$8=0,Assumptions!$B$9,(1-(1+Assumptions!$B$8)^(-Assumptions!$B$9))/Assumptions!$B$8)</x:f>
        <x:v>390726.1179390511</x:v>
      </x:c>
      <x:c r="I162" s="5" t="n">
        <x:f>H162/(1+Assumptions!$B$4)^E162</x:f>
        <x:v>217570.92272772174</x:v>
      </x:c>
    </x:row>
    <x:row r="163">
      <x:c r="A163" t="inlineStr">
        <x:is>
          <x:t xml:space="preserve">E160</x:t>
        </x:is>
      </x:c>
      <x:c r="B163" t="n">
        <x:v>25</x:v>
      </x:c>
      <x:c r="C163" t="n">
        <x:v>4</x:v>
      </x:c>
      <x:c r="D163" s="5" t="n">
        <x:v>74996</x:v>
      </x:c>
      <x:c r="E163" s="7" t="n">
        <x:f>MAX(Assumptions!$B$7-B163,0)</x:f>
        <x:v>40</x:v>
      </x:c>
      <x:c r="F163" s="5" t="n">
        <x:f>D163*(1+Assumptions!$B$5)^E163</x:f>
        <x:v>360057.3430127375</x:v>
      </x:c>
      <x:c r="G163" s="5" t="n">
        <x:f>Assumptions!$B$6*F163*C163</x:f>
        <x:v>21603.44058076425</x:v>
      </x:c>
      <x:c r="H163" s="5" t="n">
        <x:f>G163*IF(Assumptions!$B$8=0,Assumptions!$B$9,(1-(1+Assumptions!$B$8)^(-Assumptions!$B$9))/Assumptions!$B$8)</x:f>
        <x:v>240195.42224476015</x:v>
      </x:c>
      <x:c r="I163" s="5" t="n">
        <x:f>H163/(1+Assumptions!$B$4)^E163</x:f>
        <x:v>34118.722638160245</x:v>
      </x:c>
    </x:row>
    <x:row r="164">
      <x:c r="A164" t="inlineStr">
        <x:is>
          <x:t xml:space="preserve">E161</x:t>
        </x:is>
      </x:c>
      <x:c r="B164" t="n">
        <x:v>39</x:v>
      </x:c>
      <x:c r="C164" t="n">
        <x:v>12</x:v>
      </x:c>
      <x:c r="D164" s="5" t="n">
        <x:v>81455</x:v>
      </x:c>
      <x:c r="E164" s="7" t="n">
        <x:f>MAX(Assumptions!$B$7-B164,0)</x:f>
        <x:v>26</x:v>
      </x:c>
      <x:c r="F164" s="5" t="n">
        <x:f>D164*(1+Assumptions!$B$5)^E164</x:f>
        <x:v>225831.52631656028</x:v>
      </x:c>
      <x:c r="G164" s="5" t="n">
        <x:f>Assumptions!$B$6*F164*C164</x:f>
        <x:v>40649.67473698085</x:v>
      </x:c>
      <x:c r="H164" s="5" t="n">
        <x:f>G164*IF(Assumptions!$B$8=0,Assumptions!$B$9,(1-(1+Assumptions!$B$8)^(-Assumptions!$B$9))/Assumptions!$B$8)</x:f>
        <x:v>451958.8327173701</x:v>
      </x:c>
      <x:c r="I164" s="5" t="n">
        <x:f>H164/(1+Assumptions!$B$4)^E164</x:f>
        <x:v>127109.23428069</x:v>
      </x:c>
    </x:row>
    <x:row r="165">
      <x:c r="A165" t="inlineStr">
        <x:is>
          <x:t xml:space="preserve">E162</x:t>
        </x:is>
      </x:c>
      <x:c r="B165" t="n">
        <x:v>29</x:v>
      </x:c>
      <x:c r="C165" t="n">
        <x:v>4</x:v>
      </x:c>
      <x:c r="D165" s="5" t="n">
        <x:v>131763</x:v>
      </x:c>
      <x:c r="E165" s="7" t="n">
        <x:f>MAX(Assumptions!$B$7-B165,0)</x:f>
        <x:v>36</x:v>
      </x:c>
      <x:c r="F165" s="5" t="n">
        <x:f>D165*(1+Assumptions!$B$5)^E165</x:f>
        <x:v>540746.4651101221</x:v>
      </x:c>
      <x:c r="G165" s="5" t="n">
        <x:f>Assumptions!$B$6*F165*C165</x:f>
        <x:v>32444.787906607326</x:v>
      </x:c>
      <x:c r="H165" s="5" t="n">
        <x:f>G165*IF(Assumptions!$B$8=0,Assumptions!$B$9,(1-(1+Assumptions!$B$8)^(-Assumptions!$B$9))/Assumptions!$B$8)</x:f>
        <x:v>360733.7221001833</x:v>
      </x:c>
      <x:c r="I165" s="5" t="n">
        <x:f>H165/(1+Assumptions!$B$4)^E165</x:f>
        <x:v>62283.35182460899</x:v>
      </x:c>
    </x:row>
    <x:row r="166">
      <x:c r="A166" t="inlineStr">
        <x:is>
          <x:t xml:space="preserve">E163</x:t>
        </x:is>
      </x:c>
      <x:c r="B166" t="n">
        <x:v>54</x:v>
      </x:c>
      <x:c r="C166" t="n">
        <x:v>25</x:v>
      </x:c>
      <x:c r="D166" s="5" t="n">
        <x:v>124945</x:v>
      </x:c>
      <x:c r="E166" s="7" t="n">
        <x:f>MAX(Assumptions!$B$7-B166,0)</x:f>
        <x:v>11</x:v>
      </x:c>
      <x:c r="F166" s="5" t="n">
        <x:f>D166*(1+Assumptions!$B$5)^E166</x:f>
        <x:v>192347.08706628747</x:v>
      </x:c>
      <x:c r="G166" s="5" t="n">
        <x:f>Assumptions!$B$6*F166*C166</x:f>
        <x:v>72130.1576498578</x:v>
      </x:c>
      <x:c r="H166" s="5" t="n">
        <x:f>G166*IF(Assumptions!$B$8=0,Assumptions!$B$9,(1-(1+Assumptions!$B$8)^(-Assumptions!$B$9))/Assumptions!$B$8)</x:f>
        <x:v>801971.0382944847</x:v>
      </x:c>
      <x:c r="I166" s="5" t="n">
        <x:f>H166/(1+Assumptions!$B$4)^E166</x:f>
        <x:v>468895.85653793125</x:v>
      </x:c>
    </x:row>
    <x:row r="167">
      <x:c r="A167" t="inlineStr">
        <x:is>
          <x:t xml:space="preserve">E164</x:t>
        </x:is>
      </x:c>
      <x:c r="B167" t="n">
        <x:v>49</x:v>
      </x:c>
      <x:c r="C167" t="n">
        <x:v>24</x:v>
      </x:c>
      <x:c r="D167" s="5" t="n">
        <x:v>94551</x:v>
      </x:c>
      <x:c r="E167" s="7" t="n">
        <x:f>MAX(Assumptions!$B$7-B167,0)</x:f>
        <x:v>16</x:v>
      </x:c>
      <x:c r="F167" s="5" t="n">
        <x:f>D167*(1+Assumptions!$B$5)^E167</x:f>
        <x:v>177092.24976475185</x:v>
      </x:c>
      <x:c r="G167" s="5" t="n">
        <x:f>Assumptions!$B$6*F167*C167</x:f>
        <x:v>63753.209915310654</x:v>
      </x:c>
      <x:c r="H167" s="5" t="n">
        <x:f>G167*IF(Assumptions!$B$8=0,Assumptions!$B$9,(1-(1+Assumptions!$B$8)^(-Assumptions!$B$9))/Assumptions!$B$8)</x:f>
        <x:v>708832.8878827664</x:v>
      </x:c>
      <x:c r="I167" s="5" t="n">
        <x:f>H167/(1+Assumptions!$B$4)^E167</x:f>
        <x:v>324724.51310553355</x:v>
      </x:c>
    </x:row>
    <x:row r="168">
      <x:c r="A168" t="inlineStr">
        <x:is>
          <x:t xml:space="preserve">E165</x:t>
        </x:is>
      </x:c>
      <x:c r="B168" t="n">
        <x:v>39</x:v>
      </x:c>
      <x:c r="C168" t="n">
        <x:v>15</x:v>
      </x:c>
      <x:c r="D168" s="5" t="n">
        <x:v>57964</x:v>
      </x:c>
      <x:c r="E168" s="7" t="n">
        <x:f>MAX(Assumptions!$B$7-B168,0)</x:f>
        <x:v>26</x:v>
      </x:c>
      <x:c r="F168" s="5" t="n">
        <x:f>D168*(1+Assumptions!$B$5)^E168</x:f>
        <x:v>160703.43860307042</x:v>
      </x:c>
      <x:c r="G168" s="5" t="n">
        <x:f>Assumptions!$B$6*F168*C168</x:f>
        <x:v>36158.273685690845</x:v>
      </x:c>
      <x:c r="H168" s="5" t="n">
        <x:f>G168*IF(Assumptions!$B$8=0,Assumptions!$B$9,(1-(1+Assumptions!$B$8)^(-Assumptions!$B$9))/Assumptions!$B$8)</x:f>
        <x:v>402021.6957158806</x:v>
      </x:c>
      <x:c r="I168" s="5" t="n">
        <x:f>H168/(1+Assumptions!$B$4)^E168</x:f>
        <x:v>113064.87716907979</x:v>
      </x:c>
    </x:row>
    <x:row r="169">
      <x:c r="A169" t="inlineStr">
        <x:is>
          <x:t xml:space="preserve">E166</x:t>
        </x:is>
      </x:c>
      <x:c r="B169" t="n">
        <x:v>45</x:v>
      </x:c>
      <x:c r="C169" t="n">
        <x:v>23</x:v>
      </x:c>
      <x:c r="D169" s="5" t="n">
        <x:v>138956</x:v>
      </x:c>
      <x:c r="E169" s="7" t="n">
        <x:f>MAX(Assumptions!$B$7-B169,0)</x:f>
        <x:v>20</x:v>
      </x:c>
      <x:c r="F169" s="5" t="n">
        <x:f>D169*(1+Assumptions!$B$5)^E169</x:f>
        <x:v>304469.707463352</x:v>
      </x:c>
      <x:c r="G169" s="5" t="n">
        <x:f>Assumptions!$B$6*F169*C169</x:f>
        <x:v>105042.04907485643</x:v>
      </x:c>
      <x:c r="H169" s="5" t="n">
        <x:f>G169*IF(Assumptions!$B$8=0,Assumptions!$B$9,(1-(1+Assumptions!$B$8)^(-Assumptions!$B$9))/Assumptions!$B$8)</x:f>
        <x:v>1167898.1982830714</x:v>
      </x:c>
      <x:c r="I169" s="5" t="n">
        <x:f>H169/(1+Assumptions!$B$4)^E169</x:f>
        <x:v>440168.54799921566</x:v>
      </x:c>
    </x:row>
    <x:row r="170">
      <x:c r="A170" t="inlineStr">
        <x:is>
          <x:t xml:space="preserve">E167</x:t>
        </x:is>
      </x:c>
      <x:c r="B170" t="n">
        <x:v>28</x:v>
      </x:c>
      <x:c r="C170" t="n">
        <x:v>2</x:v>
      </x:c>
      <x:c r="D170" s="5" t="n">
        <x:v>111538</x:v>
      </x:c>
      <x:c r="E170" s="7" t="n">
        <x:f>MAX(Assumptions!$B$7-B170,0)</x:f>
        <x:v>37</x:v>
      </x:c>
      <x:c r="F170" s="5" t="n">
        <x:f>D170*(1+Assumptions!$B$5)^E170</x:f>
        <x:v>476054.20637410274</x:v>
      </x:c>
      <x:c r="G170" s="5" t="n">
        <x:f>Assumptions!$B$6*F170*C170</x:f>
        <x:v>14281.626191223082</x:v>
      </x:c>
      <x:c r="H170" s="5" t="n">
        <x:f>G170*IF(Assumptions!$B$8=0,Assumptions!$B$9,(1-(1+Assumptions!$B$8)^(-Assumptions!$B$9))/Assumptions!$B$8)</x:f>
        <x:v>158788.65315541788</x:v>
      </x:c>
      <x:c r="I170" s="5" t="n">
        <x:f>H170/(1+Assumptions!$B$4)^E170</x:f>
        <x:v>26110.512690518895</x:v>
      </x:c>
    </x:row>
    <x:row r="171">
      <x:c r="A171" t="inlineStr">
        <x:is>
          <x:t xml:space="preserve">E168</x:t>
        </x:is>
      </x:c>
      <x:c r="B171" t="n">
        <x:v>41</x:v>
      </x:c>
      <x:c r="C171" t="n">
        <x:v>17</x:v>
      </x:c>
      <x:c r="D171" s="5" t="n">
        <x:v>57242</x:v>
      </x:c>
      <x:c r="E171" s="7" t="n">
        <x:f>MAX(Assumptions!$B$7-B171,0)</x:f>
        <x:v>24</x:v>
      </x:c>
      <x:c r="F171" s="5" t="n">
        <x:f>D171*(1+Assumptions!$B$5)^E171</x:f>
        <x:v>146728.65700673367</x:v>
      </x:c>
      <x:c r="G171" s="5" t="n">
        <x:f>Assumptions!$B$6*F171*C171</x:f>
        <x:v>37415.80753671709</x:v>
      </x:c>
      <x:c r="H171" s="5" t="n">
        <x:f>G171*IF(Assumptions!$B$8=0,Assumptions!$B$9,(1-(1+Assumptions!$B$8)^(-Assumptions!$B$9))/Assumptions!$B$8)</x:f>
        <x:v>416003.4442806568</x:v>
      </x:c>
      <x:c r="I171" s="5" t="n">
        <x:f>H171/(1+Assumptions!$B$4)^E171</x:f>
        <x:v>128989.31863848808</x:v>
      </x:c>
    </x:row>
    <x:row r="172">
      <x:c r="A172" t="inlineStr">
        <x:is>
          <x:t xml:space="preserve">E169</x:t>
        </x:is>
      </x:c>
      <x:c r="B172" t="n">
        <x:v>25</x:v>
      </x:c>
      <x:c r="C172" t="n">
        <x:v>3</x:v>
      </x:c>
      <x:c r="D172" s="5" t="n">
        <x:v>81015</x:v>
      </x:c>
      <x:c r="E172" s="7" t="n">
        <x:f>MAX(Assumptions!$B$7-B172,0)</x:f>
        <x:v>40</x:v>
      </x:c>
      <x:c r="F172" s="5" t="n">
        <x:f>D172*(1+Assumptions!$B$5)^E172</x:f>
        <x:v>388954.68617228826</x:v>
      </x:c>
      <x:c r="G172" s="5" t="n">
        <x:f>Assumptions!$B$6*F172*C172</x:f>
        <x:v>17502.960877752972</x:v>
      </x:c>
      <x:c r="H172" s="5" t="n">
        <x:f>G172*IF(Assumptions!$B$8=0,Assumptions!$B$9,(1-(1+Assumptions!$B$8)^(-Assumptions!$B$9))/Assumptions!$B$8)</x:f>
        <x:v>194604.70024893907</x:v>
      </x:c>
      <x:c r="I172" s="5" t="n">
        <x:f>H172/(1+Assumptions!$B$4)^E172</x:f>
        <x:v>27642.757425701562</x:v>
      </x:c>
    </x:row>
    <x:row r="173">
      <x:c r="A173" t="inlineStr">
        <x:is>
          <x:t xml:space="preserve">E170</x:t>
        </x:is>
      </x:c>
      <x:c r="B173" t="n">
        <x:v>55</x:v>
      </x:c>
      <x:c r="C173" t="n">
        <x:v>22</x:v>
      </x:c>
      <x:c r="D173" s="5" t="n">
        <x:v>152556</x:v>
      </x:c>
      <x:c r="E173" s="7" t="n">
        <x:f>MAX(Assumptions!$B$7-B173,0)</x:f>
        <x:v>10</x:v>
      </x:c>
      <x:c r="F173" s="5" t="n">
        <x:f>D173*(1+Assumptions!$B$5)^E173</x:f>
        <x:v>225820.14713000294</x:v>
      </x:c>
      <x:c r="G173" s="5" t="n">
        <x:f>Assumptions!$B$6*F173*C173</x:f>
        <x:v>74520.64855290097</x:v>
      </x:c>
      <x:c r="H173" s="5" t="n">
        <x:f>G173*IF(Assumptions!$B$8=0,Assumptions!$B$9,(1-(1+Assumptions!$B$8)^(-Assumptions!$B$9))/Assumptions!$B$8)</x:f>
        <x:v>828549.442307592</x:v>
      </x:c>
      <x:c r="I173" s="5" t="n">
        <x:f>H173/(1+Assumptions!$B$4)^E173</x:f>
        <x:v>508657.4838464353</x:v>
      </x:c>
    </x:row>
    <x:row r="174">
      <x:c r="A174" t="inlineStr">
        <x:is>
          <x:t xml:space="preserve">E171</x:t>
        </x:is>
      </x:c>
      <x:c r="B174" t="n">
        <x:v>46</x:v>
      </x:c>
      <x:c r="C174" t="n">
        <x:v>24</x:v>
      </x:c>
      <x:c r="D174" s="5" t="n">
        <x:v>54616</x:v>
      </x:c>
      <x:c r="E174" s="7" t="n">
        <x:f>MAX(Assumptions!$B$7-B174,0)</x:f>
        <x:v>19</x:v>
      </x:c>
      <x:c r="F174" s="5" t="n">
        <x:f>D174*(1+Assumptions!$B$5)^E174</x:f>
        <x:v>115067.67459607049</x:v>
      </x:c>
      <x:c r="G174" s="5" t="n">
        <x:f>Assumptions!$B$6*F174*C174</x:f>
        <x:v>41424.36285458537</x:v>
      </x:c>
      <x:c r="H174" s="5" t="n">
        <x:f>G174*IF(Assumptions!$B$8=0,Assumptions!$B$9,(1-(1+Assumptions!$B$8)^(-Assumptions!$B$9))/Assumptions!$B$8)</x:f>
        <x:v>460572.1153479942</x:v>
      </x:c>
      <x:c r="I174" s="5" t="n">
        <x:f>H174/(1+Assumptions!$B$4)^E174</x:f>
        <x:v>182264.02569819088</x:v>
      </x:c>
    </x:row>
    <x:row r="175">
      <x:c r="A175" t="inlineStr">
        <x:is>
          <x:t xml:space="preserve">E172</x:t>
        </x:is>
      </x:c>
      <x:c r="B175" t="n">
        <x:v>29</x:v>
      </x:c>
      <x:c r="C175" t="n">
        <x:v>4</x:v>
      </x:c>
      <x:c r="D175" s="5" t="n">
        <x:v>110747</x:v>
      </x:c>
      <x:c r="E175" s="7" t="n">
        <x:f>MAX(Assumptions!$B$7-B175,0)</x:f>
        <x:v>36</x:v>
      </x:c>
      <x:c r="F175" s="5" t="n">
        <x:f>D175*(1+Assumptions!$B$5)^E175</x:f>
        <x:v>454498.2185556696</x:v>
      </x:c>
      <x:c r="G175" s="5" t="n">
        <x:f>Assumptions!$B$6*F175*C175</x:f>
        <x:v>27269.893113340175</x:v>
      </x:c>
      <x:c r="H175" s="5" t="n">
        <x:f>G175*IF(Assumptions!$B$8=0,Assumptions!$B$9,(1-(1+Assumptions!$B$8)^(-Assumptions!$B$9))/Assumptions!$B$8)</x:f>
        <x:v>303197.2368679296</x:v>
      </x:c>
      <x:c r="I175" s="5" t="n">
        <x:f>H175/(1+Assumptions!$B$4)^E175</x:f>
        <x:v>52349.251037999835</x:v>
      </x:c>
    </x:row>
    <x:row r="176">
      <x:c r="A176" t="inlineStr">
        <x:is>
          <x:t xml:space="preserve">E173</x:t>
        </x:is>
      </x:c>
      <x:c r="B176" t="n">
        <x:v>26</x:v>
      </x:c>
      <x:c r="C176" t="n">
        <x:v>3</x:v>
      </x:c>
      <x:c r="D176" s="5" t="n">
        <x:v>49420</x:v>
      </x:c>
      <x:c r="E176" s="7" t="n">
        <x:f>MAX(Assumptions!$B$7-B176,0)</x:f>
        <x:v>39</x:v>
      </x:c>
      <x:c r="F176" s="5" t="n">
        <x:f>D176*(1+Assumptions!$B$5)^E176</x:f>
        <x:v>228140.8071467592</x:v>
      </x:c>
      <x:c r="G176" s="5" t="n">
        <x:f>Assumptions!$B$6*F176*C176</x:f>
        <x:v>10266.336321604163</x:v>
      </x:c>
      <x:c r="H176" s="5" t="n">
        <x:f>G176*IF(Assumptions!$B$8=0,Assumptions!$B$9,(1-(1+Assumptions!$B$8)^(-Assumptions!$B$9))/Assumptions!$B$8)</x:f>
        <x:v>114145.10473253489</x:v>
      </x:c>
      <x:c r="I176" s="5" t="n">
        <x:f>H176/(1+Assumptions!$B$4)^E176</x:f>
        <x:v>17024.51024711805</x:v>
      </x:c>
    </x:row>
    <x:row r="177">
      <x:c r="A177" t="inlineStr">
        <x:is>
          <x:t xml:space="preserve">E174</x:t>
        </x:is>
      </x:c>
      <x:c r="B177" t="n">
        <x:v>40</x:v>
      </x:c>
      <x:c r="C177" t="n">
        <x:v>19</x:v>
      </x:c>
      <x:c r="D177" s="5" t="n">
        <x:v>85333</x:v>
      </x:c>
      <x:c r="E177" s="7" t="n">
        <x:f>MAX(Assumptions!$B$7-B177,0)</x:f>
        <x:v>25</x:v>
      </x:c>
      <x:c r="F177" s="5" t="n">
        <x:f>D177*(1+Assumptions!$B$5)^E177</x:f>
        <x:v>227483.81167481618</x:v>
      </x:c>
      <x:c r="G177" s="5" t="n">
        <x:f>Assumptions!$B$6*F177*C177</x:f>
        <x:v>64832.88632732261</x:v>
      </x:c>
      <x:c r="H177" s="5" t="n">
        <x:f>G177*IF(Assumptions!$B$8=0,Assumptions!$B$9,(1-(1+Assumptions!$B$8)^(-Assumptions!$B$9))/Assumptions!$B$8)</x:f>
        <x:v>720837.1485328885</x:v>
      </x:c>
      <x:c r="I177" s="5" t="n">
        <x:f>H177/(1+Assumptions!$B$4)^E177</x:f>
        <x:v>212865.20790447324</x:v>
      </x:c>
    </x:row>
    <x:row r="178">
      <x:c r="A178" t="inlineStr">
        <x:is>
          <x:t xml:space="preserve">E175</x:t>
        </x:is>
      </x:c>
      <x:c r="B178" t="n">
        <x:v>49</x:v>
      </x:c>
      <x:c r="C178" t="n">
        <x:v>25</x:v>
      </x:c>
      <x:c r="D178" s="5" t="n">
        <x:v>59719</x:v>
      </x:c>
      <x:c r="E178" s="7" t="n">
        <x:f>MAX(Assumptions!$B$7-B178,0)</x:f>
        <x:v>16</x:v>
      </x:c>
      <x:c r="F178" s="5" t="n">
        <x:f>D178*(1+Assumptions!$B$5)^E178</x:f>
        <x:v>111852.56701358226</x:v>
      </x:c>
      <x:c r="G178" s="5" t="n">
        <x:f>Assumptions!$B$6*F178*C178</x:f>
        <x:v>41944.712630093345</x:v>
      </x:c>
      <x:c r="H178" s="5" t="n">
        <x:f>G178*IF(Assumptions!$B$8=0,Assumptions!$B$9,(1-(1+Assumptions!$B$8)^(-Assumptions!$B$9))/Assumptions!$B$8)</x:f>
        <x:v>466357.56575233355</x:v>
      </x:c>
      <x:c r="I178" s="5" t="n">
        <x:f>H178/(1+Assumptions!$B$4)^E178</x:f>
        <x:v>213643.77423900593</x:v>
      </x:c>
    </x:row>
    <x:row r="179">
      <x:c r="A179" t="inlineStr">
        <x:is>
          <x:t xml:space="preserve">E176</x:t>
        </x:is>
      </x:c>
      <x:c r="B179" t="n">
        <x:v>33</x:v>
      </x:c>
      <x:c r="C179" t="n">
        <x:v>3</x:v>
      </x:c>
      <x:c r="D179" s="5" t="n">
        <x:v>117503</x:v>
      </x:c>
      <x:c r="E179" s="7" t="n">
        <x:f>MAX(Assumptions!$B$7-B179,0)</x:f>
        <x:v>32</x:v>
      </x:c>
      <x:c r="F179" s="5" t="n">
        <x:f>D179*(1+Assumptions!$B$5)^E179</x:f>
        <x:v>412207.42693062074</x:v>
      </x:c>
      <x:c r="G179" s="5" t="n">
        <x:f>Assumptions!$B$6*F179*C179</x:f>
        <x:v>18549.334211877933</x:v>
      </x:c>
      <x:c r="H179" s="5" t="n">
        <x:f>G179*IF(Assumptions!$B$8=0,Assumptions!$B$9,(1-(1+Assumptions!$B$8)^(-Assumptions!$B$9))/Assumptions!$B$8)</x:f>
        <x:v>206238.68437642988</x:v>
      </x:c>
      <x:c r="I179" s="5" t="n">
        <x:f>H179/(1+Assumptions!$B$4)^E179</x:f>
        <x:v>43282.52209084724</x:v>
      </x:c>
    </x:row>
    <x:row r="180">
      <x:c r="A180" t="inlineStr">
        <x:is>
          <x:t xml:space="preserve">E177</x:t>
        </x:is>
      </x:c>
      <x:c r="B180" t="n">
        <x:v>33</x:v>
      </x:c>
      <x:c r="C180" t="n">
        <x:v>12</x:v>
      </x:c>
      <x:c r="D180" s="5" t="n">
        <x:v>152163</x:v>
      </x:c>
      <x:c r="E180" s="7" t="n">
        <x:f>MAX(Assumptions!$B$7-B180,0)</x:f>
        <x:v>32</x:v>
      </x:c>
      <x:c r="F180" s="5" t="n">
        <x:f>D180*(1+Assumptions!$B$5)^E180</x:f>
        <x:v>533796.7430962957</x:v>
      </x:c>
      <x:c r="G180" s="5" t="n">
        <x:f>Assumptions!$B$6*F180*C180</x:f>
        <x:v>96083.41375733323</x:v>
      </x:c>
      <x:c r="H180" s="5" t="n">
        <x:f>G180*IF(Assumptions!$B$8=0,Assumptions!$B$9,(1-(1+Assumptions!$B$8)^(-Assumptions!$B$9))/Assumptions!$B$8)</x:f>
        <x:v>1068292.619959344</x:v>
      </x:c>
      <x:c r="I180" s="5" t="n">
        <x:f>H180/(1+Assumptions!$B$4)^E180</x:f>
        <x:v>224198.47693793647</x:v>
      </x:c>
    </x:row>
    <x:row r="181">
      <x:c r="A181" t="inlineStr">
        <x:is>
          <x:t xml:space="preserve">E178</x:t>
        </x:is>
      </x:c>
      <x:c r="B181" t="n">
        <x:v>40</x:v>
      </x:c>
      <x:c r="C181" t="n">
        <x:v>8</x:v>
      </x:c>
      <x:c r="D181" s="5" t="n">
        <x:v>85197</x:v>
      </x:c>
      <x:c r="E181" s="7" t="n">
        <x:f>MAX(Assumptions!$B$7-B181,0)</x:f>
        <x:v>25</x:v>
      </x:c>
      <x:c r="F181" s="5" t="n">
        <x:f>D181*(1+Assumptions!$B$5)^E181</x:f>
        <x:v>227121.2579337339</x:v>
      </x:c>
      <x:c r="G181" s="5" t="n">
        <x:f>Assumptions!$B$6*F181*C181</x:f>
        <x:v>27254.550952048066</x:v>
      </x:c>
      <x:c r="H181" s="5" t="n">
        <x:f>G181*IF(Assumptions!$B$8=0,Assumptions!$B$9,(1-(1+Assumptions!$B$8)^(-Assumptions!$B$9))/Assumptions!$B$8)</x:f>
        <x:v>303026.6567746371</x:v>
      </x:c>
      <x:c r="I181" s="5" t="n">
        <x:f>H181/(1+Assumptions!$B$4)^E181</x:f>
        <x:v>89484.61164385671</x:v>
      </x:c>
    </x:row>
    <x:row r="182">
      <x:c r="A182" t="inlineStr">
        <x:is>
          <x:t xml:space="preserve">E179</x:t>
        </x:is>
      </x:c>
      <x:c r="B182" t="n">
        <x:v>52</x:v>
      </x:c>
      <x:c r="C182" t="n">
        <x:v>4</x:v>
      </x:c>
      <x:c r="D182" s="5" t="n">
        <x:v>126546</x:v>
      </x:c>
      <x:c r="E182" s="7" t="n">
        <x:f>MAX(Assumptions!$B$7-B182,0)</x:f>
        <x:v>13</x:v>
      </x:c>
      <x:c r="F182" s="5" t="n">
        <x:f>D182*(1+Assumptions!$B$5)^E182</x:f>
        <x:v>210708.39205610048</x:v>
      </x:c>
      <x:c r="G182" s="5" t="n">
        <x:f>Assumptions!$B$6*F182*C182</x:f>
        <x:v>12642.503523366027</x:v>
      </x:c>
      <x:c r="H182" s="5" t="n">
        <x:f>G182*IF(Assumptions!$B$8=0,Assumptions!$B$9,(1-(1+Assumptions!$B$8)^(-Assumptions!$B$9))/Assumptions!$B$8)</x:f>
        <x:v>140564.2522853341</x:v>
      </x:c>
      <x:c r="I182" s="5" t="n">
        <x:f>H182/(1+Assumptions!$B$4)^E182</x:f>
        <x:v>74544.22412440431</x:v>
      </x:c>
    </x:row>
    <x:row r="183">
      <x:c r="A183" t="inlineStr">
        <x:is>
          <x:t xml:space="preserve">E180</x:t>
        </x:is>
      </x:c>
      <x:c r="B183" t="n">
        <x:v>54</x:v>
      </x:c>
      <x:c r="C183" t="n">
        <x:v>19</x:v>
      </x:c>
      <x:c r="D183" s="5" t="n">
        <x:v>124542</x:v>
      </x:c>
      <x:c r="E183" s="7" t="n">
        <x:f>MAX(Assumptions!$B$7-B183,0)</x:f>
        <x:v>11</x:v>
      </x:c>
      <x:c r="F183" s="5" t="n">
        <x:f>D183*(1+Assumptions!$B$5)^E183</x:f>
        <x:v>191726.68708159248</x:v>
      </x:c>
      <x:c r="G183" s="5" t="n">
        <x:f>Assumptions!$B$6*F183*C183</x:f>
        <x:v>54642.105818253855</x:v>
      </x:c>
      <x:c r="H183" s="5" t="n">
        <x:f>G183*IF(Assumptions!$B$8=0,Assumptions!$B$9,(1-(1+Assumptions!$B$8)^(-Assumptions!$B$9))/Assumptions!$B$8)</x:f>
        <x:v>607532.1025968746</x:v>
      </x:c>
      <x:c r="I183" s="5" t="n">
        <x:f>H183/(1+Assumptions!$B$4)^E183</x:f>
        <x:v>355211.4378435291</x:v>
      </x:c>
    </x:row>
    <x:row r="185">
      <x:c r="H185" s="9" t="str">
        <x:v>Total liability proxy ($)</x:v>
      </x:c>
      <x:c r="I185" s="10" t="n">
        <x:f>SUM(I4:I183)</x:f>
        <x:v>25267282.628964603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20" customWidth="1"/>
    <x:col min="14" max="14" width="10" customWidth="1"/>
    <x:col min="15" max="15" width="25" customWidth="1"/>
    <x:col min="16" max="16" width="26" customWidth="1"/>
    <x:col min="17" max="17" width="24" customWidth="1"/>
    <x:col min="18" max="18" width="10" customWidth="1"/>
  </x:cols>
  <x:sheetData>
    <x:row r="1">
      <x:c r="A1" s="1" t="inlineStr">
        <x:is>
          <x:t xml:space="preserve">HEALTH &amp; WELFARE CLAIMS DEVELOPMENT / IBNR</x:t>
        </x:is>
      </x:c>
    </x:row>
    <x:row r="2"/>
    <x:row r="3">
      <x:c r="A3" s="2" t="inlineStr">
        <x:is>
          <x:t xml:space="preserve">Accident Month</x:t>
        </x:is>
      </x:c>
      <x:c r="B3" s="2" t="inlineStr">
        <x:is>
          <x:t xml:space="preserve">dev_1</x:t>
        </x:is>
      </x:c>
      <x:c r="C3" s="2" t="inlineStr">
        <x:is>
          <x:t xml:space="preserve">dev_2</x:t>
        </x:is>
      </x:c>
      <x:c r="D3" s="2" t="inlineStr">
        <x:is>
          <x:t xml:space="preserve">dev_3</x:t>
        </x:is>
      </x:c>
      <x:c r="E3" s="2" t="inlineStr">
        <x:is>
          <x:t xml:space="preserve">dev_4</x:t>
        </x:is>
      </x:c>
      <x:c r="F3" s="2" t="inlineStr">
        <x:is>
          <x:t xml:space="preserve">dev_5</x:t>
        </x:is>
      </x:c>
      <x:c r="G3" s="2" t="inlineStr">
        <x:is>
          <x:t xml:space="preserve">dev_6</x:t>
        </x:is>
      </x:c>
      <x:c r="H3" s="2" t="inlineStr">
        <x:is>
          <x:t xml:space="preserve">dev_7</x:t>
        </x:is>
      </x:c>
      <x:c r="I3" s="2" t="inlineStr">
        <x:is>
          <x:t xml:space="preserve">dev_8</x:t>
        </x:is>
      </x:c>
      <x:c r="J3" s="2" t="inlineStr">
        <x:is>
          <x:t xml:space="preserve">dev_9</x:t>
        </x:is>
      </x:c>
      <x:c r="K3" s="2" t="inlineStr">
        <x:is>
          <x:t xml:space="preserve">dev_10</x:t>
        </x:is>
      </x:c>
      <x:c r="L3" s="2" t="inlineStr">
        <x:is>
          <x:t xml:space="preserve">dev_11</x:t>
        </x:is>
      </x:c>
      <x:c r="M3" s="2" t="inlineStr">
        <x:is>
          <x:t xml:space="preserve">dev_12</x:t>
        </x:is>
      </x:c>
      <x:c r="O3" s="2" t="inlineStr">
        <x:is>
          <x:t xml:space="preserve">Accident Month</x:t>
        </x:is>
      </x:c>
      <x:c r="P3" s="2" t="inlineStr">
        <x:is>
          <x:t xml:space="preserve">Latest Paid ($)</x:t>
        </x:is>
      </x:c>
      <x:c r="Q3" s="2" t="inlineStr">
        <x:is>
          <x:t xml:space="preserve">Estimated Ultimate ($)</x:t>
        </x:is>
      </x:c>
      <x:c r="R3" s="2" t="inlineStr">
        <x:is>
          <x:t xml:space="preserve">IBNR ($)</x:t>
        </x:is>
      </x:c>
    </x:row>
    <x:row r="4">
      <x:c r="A4" t="inlineStr">
        <x:is>
          <x:t xml:space="preserve">M01</x:t>
        </x:is>
      </x:c>
      <x:c r="B4" s="5" t="n">
        <x:v>313591.4921143396</x:v>
      </x:c>
      <x:c r="C4" s="5" t="n">
        <x:v>526385.7189062128</x:v>
      </x:c>
      <x:c r="D4" s="5" t="n">
        <x:v>694381.1611103233</x:v>
      </x:c>
      <x:c r="E4" s="5" t="n">
        <x:v>817577.8187266709</x:v>
      </x:c>
      <x:c r="F4" s="5" t="n">
        <x:v>907175.3879021966</x:v>
      </x:c>
      <x:c r="G4" s="5" t="n">
        <x:v>974373.5647838408</x:v>
      </x:c>
      <x:c r="H4" s="5" t="n">
        <x:v>1019172.349371604</x:v>
      </x:c>
      <x:c r="I4" s="5" t="n">
        <x:v>1052771.437812426</x:v>
      </x:c>
      <x:c r="J4" s="5" t="n">
        <x:v>1080770.678179778</x:v>
      </x:c>
      <x:c r="K4" s="5" t="n">
        <x:v>1099810.161629576</x:v>
      </x:c>
      <x:c r="L4" s="5" t="n">
        <x:v>1113249.797005905</x:v>
      </x:c>
      <x:c r="M4" s="5" t="n">
        <x:v>1119969.61469407</x:v>
      </x:c>
      <x:c r="O4" t="inlineStr">
        <x:is>
          <x:t xml:space="preserve">M01</x:t>
        </x:is>
      </x:c>
      <x:c r="P4" s="5" t="n">
        <x:f>M4</x:f>
        <x:v>1119969.61469407</x:v>
      </x:c>
      <x:c r="Q4" s="5" t="n">
        <x:f>P4*M$18</x:f>
        <x:v>1119969.61469407</x:v>
      </x:c>
      <x:c r="R4" s="5" t="n">
        <x:f>Q4-P4</x:f>
        <x:v>0</x:v>
      </x:c>
    </x:row>
    <x:row r="5">
      <x:c r="A5" t="inlineStr">
        <x:is>
          <x:t xml:space="preserve">M02</x:t>
        </x:is>
      </x:c>
      <x:c r="B5" s="5" t="n">
        <x:v>284312.2067569458</x:v>
      </x:c>
      <x:c r="C5" s="5" t="n">
        <x:v>477238.3470563017</x:v>
      </x:c>
      <x:c r="D5" s="5" t="n">
        <x:v>629548.4578189512</x:v>
      </x:c>
      <x:c r="E5" s="5" t="n">
        <x:v>741242.5390448942</x:v>
      </x:c>
      <x:c r="F5" s="5" t="n">
        <x:v>822474.5981183073</x:v>
      </x:c>
      <x:c r="G5" s="5" t="n">
        <x:v>883398.642423367</x:v>
      </x:c>
      <x:c r="H5" s="5" t="n">
        <x:v>924014.6719600736</x:v>
      </x:c>
      <x:c r="I5" s="5" t="n">
        <x:v>954476.6941126034</x:v>
      </x:c>
      <x:c r="J5" s="5" t="n">
        <x:v>979861.712573045</x:v>
      </x:c>
      <x:c r="K5" s="5" t="n">
        <x:v>997123.5251261452</x:v>
      </x:c>
      <x:c r="L5" s="5" t="n">
        <x:v>1009308.333987157</x:v>
      </x:c>
      <x:c r="O5" t="inlineStr">
        <x:is>
          <x:t xml:space="preserve">M02</x:t>
        </x:is>
      </x:c>
      <x:c r="P5" s="5" t="n">
        <x:f>L5</x:f>
        <x:v>1009308.333987157</x:v>
      </x:c>
      <x:c r="Q5" s="5" t="n">
        <x:f>P5*L$18</x:f>
        <x:v>1015400.7384176636</x:v>
      </x:c>
      <x:c r="R5" s="5" t="n">
        <x:f>Q5-P5</x:f>
        <x:v>6092.4044305066345</x:v>
      </x:c>
    </x:row>
    <x:row r="6">
      <x:c r="A6" t="inlineStr">
        <x:is>
          <x:t xml:space="preserve">M03</x:t>
        </x:is>
      </x:c>
      <x:c r="B6" s="5" t="n">
        <x:v>367369.5055642195</x:v>
      </x:c>
      <x:c r="C6" s="5" t="n">
        <x:v>616655.9557685112</x:v>
      </x:c>
      <x:c r="D6" s="5" t="n">
        <x:v>813461.0480350574</x:v>
      </x:c>
      <x:c r="E6" s="5" t="n">
        <x:v>957784.7823638578</x:v>
      </x:c>
      <x:c r="F6" s="5" t="n">
        <x:v>1062747.498239349</x:v>
      </x:c>
      <x:c r="G6" s="5" t="n">
        <x:v>1141469.535145968</x:v>
      </x:c>
      <x:c r="H6" s="5" t="n">
        <x:v>1193950.893083713</x:v>
      </x:c>
      <x:c r="I6" s="5" t="n">
        <x:v>1233311.911537022</x:v>
      </x:c>
      <x:c r="J6" s="5" t="n">
        <x:v>1266112.760248113</x:v>
      </x:c>
      <x:c r="K6" s="5" t="n">
        <x:v>1288417.337371656</x:v>
      </x:c>
      <x:c r="O6" t="inlineStr">
        <x:is>
          <x:t xml:space="preserve">M03</x:t>
        </x:is>
      </x:c>
      <x:c r="P6" s="5" t="n">
        <x:f>K6</x:f>
        <x:v>1288417.337371656</x:v>
      </x:c>
      <x:c r="Q6" s="5" t="n">
        <x:f>P6*K$18</x:f>
        <x:v>1312033.9484436424</x:v>
      </x:c>
      <x:c r="R6" s="5" t="n">
        <x:f>Q6-P6</x:f>
        <x:v>23616.61107198638</x:v>
      </x:c>
    </x:row>
    <x:row r="7">
      <x:c r="A7" t="inlineStr">
        <x:is>
          <x:t xml:space="preserve">M04</x:t>
        </x:is>
      </x:c>
      <x:c r="B7" s="5" t="n">
        <x:v>359127.1648401248</x:v>
      </x:c>
      <x:c r="C7" s="5" t="n">
        <x:v>602820.5981244951</x:v>
      </x:c>
      <x:c r="D7" s="5" t="n">
        <x:v>795210.1507174192</x:v>
      </x:c>
      <x:c r="E7" s="5" t="n">
        <x:v>936295.8226188968</x:v>
      </x:c>
      <x:c r="F7" s="5" t="n">
        <x:v>1038903.58400179</x:v>
      </x:c>
      <x:c r="G7" s="5" t="n">
        <x:v>1115859.405038959</x:v>
      </x:c>
      <x:c r="H7" s="5" t="n">
        <x:v>1167163.285730406</x:v>
      </x:c>
      <x:c r="I7" s="5" t="n">
        <x:v>1205641.19624899</x:v>
      </x:c>
      <x:c r="J7" s="5" t="n">
        <x:v>1237706.121681144</x:v>
      </x:c>
      <x:c r="O7" t="inlineStr">
        <x:is>
          <x:t xml:space="preserve">M04</x:t>
        </x:is>
      </x:c>
      <x:c r="P7" s="5" t="n">
        <x:f>J7</x:f>
        <x:v>1237706.121681144</x:v>
      </x:c>
      <x:c r="Q7" s="5" t="n">
        <x:f>P7*J$18</x:f>
        <x:v>1282597.0172861603</x:v>
      </x:c>
      <x:c r="R7" s="5" t="n">
        <x:f>Q7-P7</x:f>
        <x:v>44890.89560501627</x:v>
      </x:c>
    </x:row>
    <x:row r="8">
      <x:c r="A8" t="inlineStr">
        <x:is>
          <x:t xml:space="preserve">M05</x:t>
        </x:is>
      </x:c>
      <x:c r="B8" s="5" t="n">
        <x:v>302207.6063359778</x:v>
      </x:c>
      <x:c r="C8" s="5" t="n">
        <x:v>507277.0534925341</x:v>
      </x:c>
      <x:c r="D8" s="5" t="n">
        <x:v>669173.9854582365</x:v>
      </x:c>
      <x:c r="E8" s="5" t="n">
        <x:v>787898.4022330849</x:v>
      </x:c>
      <x:c r="F8" s="5" t="n">
        <x:v>874243.432614793</x:v>
      </x:c>
      <x:c r="G8" s="5" t="n">
        <x:v>939002.2054010738</x:v>
      </x:c>
      <x:c r="H8" s="5" t="n">
        <x:v>982174.720591928</x:v>
      </x:c>
      <x:c r="I8" s="5" t="n">
        <x:v>1014554.106985068</x:v>
      </x:c>
      <x:c r="O8" t="inlineStr">
        <x:is>
          <x:t xml:space="preserve">M05</x:t>
        </x:is>
      </x:c>
      <x:c r="P8" s="5" t="n">
        <x:f>I8</x:f>
        <x:v>1014554.106985068</x:v>
      </x:c>
      <x:c r="Q8" s="5" t="n">
        <x:f>P8*I$18</x:f>
        <x:v>1079312.8797713497</x:v>
      </x:c>
      <x:c r="R8" s="5" t="n">
        <x:f>Q8-P8</x:f>
        <x:v>64758.77278628177</x:v>
      </x:c>
    </x:row>
    <x:row r="9">
      <x:c r="A9" t="inlineStr">
        <x:is>
          <x:t xml:space="preserve">M06</x:t>
        </x:is>
      </x:c>
      <x:c r="B9" s="5" t="n">
        <x:v>375372.9066231731</x:v>
      </x:c>
      <x:c r="C9" s="5" t="n">
        <x:v>630090.236117469</x:v>
      </x:c>
      <x:c r="D9" s="5" t="n">
        <x:v>831182.8646655974</x:v>
      </x:c>
      <x:c r="E9" s="5" t="n">
        <x:v>978650.7922675584</x:v>
      </x:c>
      <x:c r="F9" s="5" t="n">
        <x:v>1085900.194159894</x:v>
      </x:c>
      <x:c r="G9" s="5" t="n">
        <x:v>1166337.245579145</x:v>
      </x:c>
      <x:c r="H9" s="5" t="n">
        <x:v>1219961.946525312</x:v>
      </x:c>
      <x:c r="O9" t="inlineStr">
        <x:is>
          <x:t xml:space="preserve">M06</x:t>
        </x:is>
      </x:c>
      <x:c r="P9" s="5" t="n">
        <x:f>H9</x:f>
        <x:v>1219961.946525312</x:v>
      </x:c>
      <x:c r="Q9" s="5" t="n">
        <x:f>P9*H$18</x:f>
        <x:v>1340617.5236541894</x:v>
      </x:c>
      <x:c r="R9" s="5" t="n">
        <x:f>Q9-P9</x:f>
        <x:v>120655.5771288774</x:v>
      </x:c>
    </x:row>
    <x:row r="10">
      <x:c r="A10" t="inlineStr">
        <x:is>
          <x:t xml:space="preserve">M07</x:t>
        </x:is>
      </x:c>
      <x:c r="B10" s="5" t="n">
        <x:v>404331.2801597176</x:v>
      </x:c>
      <x:c r="C10" s="5" t="n">
        <x:v>678698.9345538116</x:v>
      </x:c>
      <x:c r="D10" s="5" t="n">
        <x:v>895304.9774965175</x:v>
      </x:c>
      <x:c r="E10" s="5" t="n">
        <x:v>1054149.408987835</x:v>
      </x:c>
      <x:c r="F10" s="5" t="n">
        <x:v>1169672.631890611</x:v>
      </x:c>
      <x:c r="G10" s="5" t="n">
        <x:v>1256315.049067694</x:v>
      </x:c>
      <x:c r="O10" t="inlineStr">
        <x:is>
          <x:t xml:space="preserve">M07</x:t>
        </x:is>
      </x:c>
      <x:c r="P10" s="5" t="n">
        <x:f>G10</x:f>
        <x:v>1256315.049067694</x:v>
      </x:c>
      <x:c r="Q10" s="5" t="n">
        <x:f>P10*G$18</x:f>
        <x:v>1444040.2862847063</x:v>
      </x:c>
      <x:c r="R10" s="5" t="n">
        <x:f>Q10-P10</x:f>
        <x:v>187725.23721701233</x:v>
      </x:c>
    </x:row>
    <x:row r="11">
      <x:c r="A11" t="inlineStr">
        <x:is>
          <x:t xml:space="preserve">M08</x:t>
        </x:is>
      </x:c>
      <x:c r="B11" s="5" t="n">
        <x:v>352489.1230546779</x:v>
      </x:c>
      <x:c r="C11" s="5" t="n">
        <x:v>591678.1708417807</x:v>
      </x:c>
      <x:c r="D11" s="5" t="n">
        <x:v>780511.6296210724</x:v>
      </x:c>
      <x:c r="E11" s="5" t="n">
        <x:v>918989.499392553</x:v>
      </x:c>
      <x:c r="F11" s="5" t="n">
        <x:v>1019700.677408175</x:v>
      </x:c>
      <x:c r="O11" t="inlineStr">
        <x:is>
          <x:t xml:space="preserve">M08</x:t>
        </x:is>
      </x:c>
      <x:c r="P11" s="5" t="n">
        <x:f>F11</x:f>
        <x:v>1019700.677408175</x:v>
      </x:c>
      <x:c r="Q11" s="5" t="n">
        <x:f>P11*F$18</x:f>
        <x:v>1258889.7251952784</x:v>
      </x:c>
      <x:c r="R11" s="5" t="n">
        <x:f>Q11-P11</x:f>
        <x:v>239189.04778710345</x:v>
      </x:c>
    </x:row>
    <x:row r="12">
      <x:c r="A12" t="inlineStr">
        <x:is>
          <x:t xml:space="preserve">M09</x:t>
        </x:is>
      </x:c>
      <x:c r="B12" s="5" t="n">
        <x:v>343479.7734667651</x:v>
      </x:c>
      <x:c r="C12" s="5" t="n">
        <x:v>576555.3340334984</x:v>
      </x:c>
      <x:c r="D12" s="5" t="n">
        <x:v>760562.3555335511</x:v>
      </x:c>
      <x:c r="E12" s="5" t="n">
        <x:v>895500.837966923</x:v>
      </x:c>
      <x:c r="O12" t="inlineStr">
        <x:is>
          <x:t xml:space="preserve">M09</x:t>
        </x:is>
      </x:c>
      <x:c r="P12" s="5" t="n">
        <x:f>E12</x:f>
        <x:v>895500.837966923</x:v>
      </x:c>
      <x:c r="Q12" s="5" t="n">
        <x:f>P12*E$18</x:f>
        <x:v>1226713.4766670184</x:v>
      </x:c>
      <x:c r="R12" s="5" t="n">
        <x:f>Q12-P12</x:f>
        <x:v>331212.63870009535</x:v>
      </x:c>
    </x:row>
    <x:row r="13">
      <x:c r="A13" t="inlineStr">
        <x:is>
          <x:t xml:space="preserve">M10</x:t>
        </x:is>
      </x:c>
      <x:c r="B13" s="5" t="n">
        <x:v>347463.9130675751</x:v>
      </x:c>
      <x:c r="C13" s="5" t="n">
        <x:v>583242.9969348582</x:v>
      </x:c>
      <x:c r="D13" s="5" t="n">
        <x:v>769384.3789353449</x:v>
      </x:c>
      <x:c r="O13" t="inlineStr">
        <x:is>
          <x:t xml:space="preserve">M10</x:t>
        </x:is>
      </x:c>
      <x:c r="P13" s="5" t="n">
        <x:f>D13</x:f>
        <x:v>769384.3789353449</x:v>
      </x:c>
      <x:c r="Q13" s="5" t="n">
        <x:f>P13*D$18</x:f>
        <x:v>1240942.5466699116</x:v>
      </x:c>
      <x:c r="R13" s="5" t="n">
        <x:f>Q13-P13</x:f>
        <x:v>471558.1677345667</x:v>
      </x:c>
    </x:row>
    <x:row r="14">
      <x:c r="A14" t="inlineStr">
        <x:is>
          <x:t xml:space="preserve">M11</x:t>
        </x:is>
      </x:c>
      <x:c r="B14" s="5" t="n">
        <x:v>324947.3961360456</x:v>
      </x:c>
      <x:c r="C14" s="5" t="n">
        <x:v>545447.4149426479</x:v>
      </x:c>
      <x:c r="O14" t="inlineStr">
        <x:is>
          <x:t xml:space="preserve">M11</x:t>
        </x:is>
      </x:c>
      <x:c r="P14" s="5" t="n">
        <x:f>C14</x:f>
        <x:v>545447.4149426479</x:v>
      </x:c>
      <x:c r="Q14" s="5" t="n">
        <x:f>P14*C$18</x:f>
        <x:v>1160526.4147715918</x:v>
      </x:c>
      <x:c r="R14" s="5" t="n">
        <x:f>Q14-P14</x:f>
        <x:v>615078.9998289439</x:v>
      </x:c>
    </x:row>
    <x:row r="15">
      <x:c r="A15" t="inlineStr">
        <x:is>
          <x:t xml:space="preserve">M12</x:t>
        </x:is>
      </x:c>
      <x:c r="B15" s="5" t="n">
        <x:v>373098.3542754173</x:v>
      </x:c>
      <x:c r="O15" t="inlineStr">
        <x:is>
          <x:t xml:space="preserve">M12</x:t>
        </x:is>
      </x:c>
      <x:c r="P15" s="5" t="n">
        <x:f>B15</x:f>
        <x:v>373098.3542754173</x:v>
      </x:c>
      <x:c r="Q15" s="5" t="n">
        <x:f>P15*B$18</x:f>
        <x:v>1332494.1224122052</x:v>
      </x:c>
      <x:c r="R15" s="5" t="n">
        <x:f>Q15-P15</x:f>
        <x:v>959395.7681367879</x:v>
      </x:c>
    </x:row>
    <x:row r="16"/>
    <x:row r="17">
      <x:c r="A17" t="inlineStr">
        <x:is>
          <x:t xml:space="preserve">Age-to-age factor</x:t>
        </x:is>
      </x:c>
      <x:c r="B17" s="6" t="n">
        <x:f>SUM(C4:C14)/SUM(B4:B14)</x:f>
        <x:v>1.6785714285714286</x:v>
      </x:c>
      <x:c r="C17" s="6" t="n">
        <x:f>SUM(D4:D13)/SUM(C4:C13)</x:f>
        <x:v>1.319148936170213</x:v>
      </x:c>
      <x:c r="D17" s="6" t="n">
        <x:f>SUM(E4:E12)/SUM(D4:D12)</x:f>
        <x:v>1.1774193548387095</x:v>
      </x:c>
      <x:c r="E17" s="6" t="n">
        <x:f>SUM(F4:F11)/SUM(E4:E11)</x:f>
        <x:v>1.1095890410958904</x:v>
      </x:c>
      <x:c r="F17" s="6" t="n">
        <x:f>SUM(G4:G10)/SUM(F4:F10)</x:f>
        <x:v>1.0740740740740742</x:v>
      </x:c>
      <x:c r="G17" s="6" t="n">
        <x:f>SUM(H4:H9)/SUM(G4:G9)</x:f>
        <x:v>1.0459770114942528</x:v>
      </x:c>
      <x:c r="H17" s="6" t="n">
        <x:f>SUM(I4:I8)/SUM(H4:H8)</x:f>
        <x:v>1.0329670329670324</x:v>
      </x:c>
      <x:c r="I17" s="6" t="n">
        <x:f>SUM(J4:J7)/SUM(I4:I7)</x:f>
        <x:v>1.0265957446808514</x:v>
      </x:c>
      <x:c r="J17" s="6" t="n">
        <x:f>SUM(K4:K6)/SUM(J4:J6)</x:f>
        <x:v>1.0176165803108808</x:v>
      </x:c>
      <x:c r="K17" s="6" t="n">
        <x:f>SUM(L4:L5)/SUM(K4:K5)</x:f>
        <x:v>1.0122199592668024</x:v>
      </x:c>
      <x:c r="L17" s="6" t="n">
        <x:f>SUM(M4:M4)/SUM(L4:L4)</x:f>
        <x:v>1.0060362173038235</x:v>
      </x:c>
      <x:c r="M17" t="n">
        <x:v>1</x:v>
      </x:c>
      <x:c r="O17" t="inlineStr">
        <x:is>
          <x:t xml:space="preserve">Summary</x:t>
        </x:is>
      </x:c>
      <x:c r="P17" t="inlineStr">
        <x:is>
          <x:t xml:space="preserve">Value</x:t>
        </x:is>
      </x:c>
    </x:row>
    <x:row r="18">
      <x:c r="A18" t="inlineStr">
        <x:is>
          <x:t xml:space="preserve">CDF to ultimate</x:t>
        </x:is>
      </x:c>
      <x:c r="B18" s="6" t="n">
        <x:f>B17*C18</x:f>
        <x:v>3.571428571428573</x:v>
      </x:c>
      <x:c r="C18" s="6" t="n">
        <x:f>C17*D18</x:f>
        <x:v>2.127659574468086</x:v>
      </x:c>
      <x:c r="D18" s="6" t="n">
        <x:f>D17*E18</x:f>
        <x:v>1.6129032258064522</x:v>
      </x:c>
      <x:c r="E18" s="6" t="n">
        <x:f>E17*F18</x:f>
        <x:v>1.3698630136986307</x:v>
      </x:c>
      <x:c r="F18" s="6" t="n">
        <x:f>F17*G18</x:f>
        <x:v>1.2345679012345685</x:v>
      </x:c>
      <x:c r="G18" s="6" t="n">
        <x:f>G17*H18</x:f>
        <x:v>1.1494252873563222</x:v>
      </x:c>
      <x:c r="H18" s="6" t="n">
        <x:f>H17*I18</x:f>
        <x:v>1.0989010989010992</x:v>
      </x:c>
      <x:c r="I18" s="6" t="n">
        <x:f>I17*J18</x:f>
        <x:v>1.0638297872340434</x:v>
      </x:c>
      <x:c r="J18" s="6" t="n">
        <x:f>J17*K18</x:f>
        <x:v>1.036269430051814</x:v>
      </x:c>
      <x:c r="K18" s="6" t="n">
        <x:f>K17*L18</x:f>
        <x:v>1.0183299389002043</x:v>
      </x:c>
      <x:c r="L18" s="6" t="n">
        <x:f>L17*M18</x:f>
        <x:v>1.0060362173038235</x:v>
      </x:c>
      <x:c r="M18" t="n">
        <x:v>1</x:v>
      </x:c>
      <x:c r="O18" t="inlineStr">
        <x:is>
          <x:t xml:space="preserve">Paid to date</x:t>
        </x:is>
      </x:c>
      <x:c r="P18" s="5" t="n">
        <x:f>SUM(P4:P15)</x:f>
        <x:v>11749364.173840608</x:v>
      </x:c>
    </x:row>
    <x:row r="19">
      <x:c r="O19" t="inlineStr">
        <x:is>
          <x:t xml:space="preserve">Estimated ultimate</x:t>
        </x:is>
      </x:c>
      <x:c r="P19" s="5" t="n">
        <x:f>SUM(Q4:Q15)</x:f>
        <x:v>14813538.294267789</x:v>
      </x:c>
    </x:row>
    <x:row r="20">
      <x:c r="O20" t="inlineStr">
        <x:is>
          <x:t xml:space="preserve">IBNR</x:t>
        </x:is>
      </x:c>
      <x:c r="P20" s="5" t="n">
        <x:f>SUM(R4:R15)</x:f>
        <x:v>3064174.120427178</x:v>
      </x:c>
    </x:row>
    <x:row r="21">
      <x:c r="O21" t="inlineStr">
        <x:is>
          <x:t xml:space="preserve">PAD / risk margin</x:t>
        </x:is>
      </x:c>
      <x:c r="P21" s="5" t="n">
        <x:f>P20*Assumptions!$D$4</x:f>
        <x:v>153208.70602135893</x:v>
      </x:c>
    </x:row>
    <x:row r="22">
      <x:c r="O22" t="inlineStr">
        <x:is>
          <x:t xml:space="preserve">Reserve incl. PAD</x:t>
        </x:is>
      </x:c>
      <x:c r="P22" s="5" t="n">
        <x:f>P20+P21</x:f>
        <x:v>3217382.826448537</x:v>
      </x:c>
    </x:row>
    <x:row r="23"/>
    <x:row r="24">
      <x:c r="O24" t="inlineStr">
        <x:is>
          <x:t xml:space="preserve">Claim-trend sensitivity</x:t>
        </x:is>
      </x:c>
      <x:c r="P24" t="inlineStr">
        <x:is>
          <x:t xml:space="preserve">Next-year cost proxy ($)</x:t>
        </x:is>
      </x:c>
    </x:row>
    <x:row r="25">
      <x:c r="O25" t="inlineStr">
        <x:is>
          <x:t xml:space="preserve">5%</x:t>
        </x:is>
      </x:c>
      <x:c r="P25" s="5" t="n">
        <x:f>P19*(1+0.05)</x:f>
        <x:v>15554215.208981179</x:v>
      </x:c>
    </x:row>
    <x:row r="26">
      <x:c r="O26" t="inlineStr">
        <x:is>
          <x:t xml:space="preserve">7%</x:t>
        </x:is>
      </x:c>
      <x:c r="P26" s="5" t="n">
        <x:f>P19*(1+0.07)</x:f>
        <x:v>15850485.974866536</x:v>
      </x:c>
    </x:row>
    <x:row r="27">
      <x:c r="O27" t="inlineStr">
        <x:is>
          <x:t xml:space="preserve">9%</x:t>
        </x:is>
      </x:c>
      <x:c r="P27" s="5" t="n">
        <x:f>P19*(1+0.09)</x:f>
        <x:v>16146756.74075189</x:v>
      </x:c>
    </x:row>
    <x:row r="29">
      <x:c r="O29" t="str">
        <x:v>Selected trend cost proxy</x:v>
      </x:c>
      <x:c r="P29" s="8" t="n">
        <x:f>P19*(1+Assumptions!$D$5)</x:f>
        <x:v>15850485.974866536</x:v>
      </x:c>
    </x:row>
  </x:sheetData>
  <x:mergeCells>
    <x:mergeCell ref="A1:R1"/>
  </x:mergeCells>
  <x:pageMargins left="0.7" right="0.7" top="0.75" bottom="0.75" header="0.3" footer="0.3"/>
</x:worksheet>
</file>